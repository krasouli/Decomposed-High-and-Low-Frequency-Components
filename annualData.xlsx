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384" activeTab="2"/>
  </bookViews>
  <sheets>
    <sheet name="Sheet1" sheetId="1" r:id="rId1"/>
    <sheet name="p,q arima" sheetId="4" r:id="rId2"/>
    <sheet name="decomposition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" i="1" l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4" i="1"/>
  <c r="BK8" i="3" l="1"/>
  <c r="BK9" i="3"/>
  <c r="BK10" i="3"/>
  <c r="BK11" i="3"/>
  <c r="BK12" i="3"/>
  <c r="BK13" i="3"/>
  <c r="BK14" i="3"/>
  <c r="BK15" i="3"/>
  <c r="BK16" i="3"/>
  <c r="BK17" i="3"/>
  <c r="BK18" i="3"/>
  <c r="BK19" i="3"/>
  <c r="BK20" i="3"/>
  <c r="BK21" i="3"/>
  <c r="BK22" i="3"/>
  <c r="BK23" i="3"/>
  <c r="BK24" i="3"/>
  <c r="BK25" i="3"/>
  <c r="BK26" i="3"/>
  <c r="BK27" i="3"/>
  <c r="BK28" i="3"/>
  <c r="BK29" i="3"/>
  <c r="BK30" i="3"/>
  <c r="BK31" i="3"/>
  <c r="BK32" i="3"/>
  <c r="BK33" i="3"/>
  <c r="BK34" i="3"/>
  <c r="BK35" i="3"/>
  <c r="BK36" i="3"/>
  <c r="BK7" i="3"/>
  <c r="O5" i="1" l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4" i="1"/>
  <c r="AU36" i="3" l="1"/>
  <c r="AU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7" i="3"/>
  <c r="BT8" i="3" l="1"/>
  <c r="BT9" i="3"/>
  <c r="BT10" i="3"/>
  <c r="BT11" i="3"/>
  <c r="BT12" i="3"/>
  <c r="BT13" i="3"/>
  <c r="BT14" i="3"/>
  <c r="BT15" i="3"/>
  <c r="BT16" i="3"/>
  <c r="BT17" i="3"/>
  <c r="BT18" i="3"/>
  <c r="BT19" i="3"/>
  <c r="BT20" i="3"/>
  <c r="BT21" i="3"/>
  <c r="BT22" i="3"/>
  <c r="BT23" i="3"/>
  <c r="BT24" i="3"/>
  <c r="BT25" i="3"/>
  <c r="BT26" i="3"/>
  <c r="BT27" i="3"/>
  <c r="BT28" i="3"/>
  <c r="BT29" i="3"/>
  <c r="BT30" i="3"/>
  <c r="BT31" i="3"/>
  <c r="BT32" i="3"/>
  <c r="BT33" i="3"/>
  <c r="BT34" i="3"/>
  <c r="BT35" i="3"/>
  <c r="BT36" i="3"/>
  <c r="BT7" i="3"/>
  <c r="AZ8" i="3" l="1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7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41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7" i="3"/>
  <c r="A9" i="3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8" i="3"/>
  <c r="AV35" i="4" l="1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B32" i="4"/>
  <c r="B31" i="4"/>
  <c r="B30" i="4"/>
  <c r="B33" i="4" s="1"/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4" i="1"/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C5" i="1" l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</calcChain>
</file>

<file path=xl/sharedStrings.xml><?xml version="1.0" encoding="utf-8"?>
<sst xmlns="http://schemas.openxmlformats.org/spreadsheetml/2006/main" count="31" uniqueCount="25">
  <si>
    <t>Tehran</t>
  </si>
  <si>
    <t>Semnan</t>
  </si>
  <si>
    <t>Mashhad</t>
  </si>
  <si>
    <t>Arak</t>
  </si>
  <si>
    <t>Anzali</t>
  </si>
  <si>
    <t>Rasht</t>
  </si>
  <si>
    <t>IMF=3</t>
  </si>
  <si>
    <t>IMF=4</t>
  </si>
  <si>
    <t>semnan</t>
  </si>
  <si>
    <t>mashahd</t>
  </si>
  <si>
    <t>Anzai</t>
  </si>
  <si>
    <t>rasht</t>
  </si>
  <si>
    <t>imf=3</t>
  </si>
  <si>
    <t>imf2</t>
  </si>
  <si>
    <t>imf=2</t>
  </si>
  <si>
    <t>نرمال تهران</t>
  </si>
  <si>
    <t>انزلی</t>
  </si>
  <si>
    <t>n</t>
  </si>
  <si>
    <t>var</t>
  </si>
  <si>
    <t>p+q</t>
  </si>
  <si>
    <t>tehran</t>
  </si>
  <si>
    <t>semnana</t>
  </si>
  <si>
    <t>arak</t>
  </si>
  <si>
    <t>anzali</t>
  </si>
  <si>
    <t>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</si>
</sst>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0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Q33"/>
  <sheetViews>
    <sheetView workbookViewId="0">
      <selection activeCell="I4" sqref="I4:I33"/>
    </sheetView>
  </sheetViews>
  <sheetFormatPr defaultRowHeight="14.4" x14ac:dyDescent="0.3"/>
  <cols>
    <col min="3" max="9" width="8.88671875" style="1"/>
  </cols>
  <sheetData>
    <row r="3" spans="2:17" x14ac:dyDescent="0.3"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K3" s="1" t="s">
        <v>15</v>
      </c>
      <c r="N3" t="s">
        <v>16</v>
      </c>
    </row>
    <row r="4" spans="2:17" x14ac:dyDescent="0.3">
      <c r="B4">
        <v>1</v>
      </c>
      <c r="C4" s="1">
        <v>1995</v>
      </c>
      <c r="D4" s="2">
        <v>138.63999999999999</v>
      </c>
      <c r="E4" s="2">
        <v>73.11</v>
      </c>
      <c r="F4" s="2">
        <v>261</v>
      </c>
      <c r="G4" s="2">
        <v>233.92999999999998</v>
      </c>
      <c r="H4" s="2">
        <v>1367.6000000000001</v>
      </c>
      <c r="I4" s="2">
        <v>1000.55</v>
      </c>
      <c r="K4">
        <f>SQRT(D4)</f>
        <v>11.77454882362802</v>
      </c>
      <c r="N4">
        <f>LOG(H4)</f>
        <v>3.135959092124557</v>
      </c>
      <c r="O4">
        <f>LN(H4)</f>
        <v>7.2208126577651459</v>
      </c>
      <c r="Q4">
        <f>LOG(D4)</f>
        <v>2.1418885497058606</v>
      </c>
    </row>
    <row r="5" spans="2:17" x14ac:dyDescent="0.3">
      <c r="B5">
        <f>B4+1</f>
        <v>2</v>
      </c>
      <c r="C5" s="1">
        <f>C4+1</f>
        <v>1996</v>
      </c>
      <c r="D5" s="2">
        <v>351.71</v>
      </c>
      <c r="E5" s="2">
        <v>251.1</v>
      </c>
      <c r="F5" s="2">
        <v>195.32999999999998</v>
      </c>
      <c r="G5" s="2">
        <v>435.69000000000005</v>
      </c>
      <c r="H5" s="2">
        <v>1473.0000000000002</v>
      </c>
      <c r="I5" s="2">
        <v>1092.1299999999997</v>
      </c>
      <c r="K5">
        <f t="shared" ref="K5:K33" si="0">SQRT(D5)</f>
        <v>18.753932920856894</v>
      </c>
      <c r="N5">
        <f t="shared" ref="N5:N33" si="1">LOG(H5)</f>
        <v>3.1682027468426308</v>
      </c>
      <c r="O5">
        <f t="shared" ref="O5:O33" si="2">LN(H5)</f>
        <v>7.2950564164626304</v>
      </c>
      <c r="Q5">
        <f t="shared" ref="Q5:Q27" si="3">LOG(D5)</f>
        <v>2.546184716577045</v>
      </c>
    </row>
    <row r="6" spans="2:17" x14ac:dyDescent="0.3">
      <c r="B6">
        <f t="shared" ref="B6:B27" si="4">B5+1</f>
        <v>3</v>
      </c>
      <c r="C6" s="1">
        <f t="shared" ref="C6:C33" si="5">C5+1</f>
        <v>1997</v>
      </c>
      <c r="D6" s="2">
        <v>144.79000000000002</v>
      </c>
      <c r="E6" s="2">
        <v>73.539999999999992</v>
      </c>
      <c r="F6" s="2">
        <v>239.57999999999998</v>
      </c>
      <c r="G6" s="2">
        <v>231.96</v>
      </c>
      <c r="H6" s="2">
        <v>1981.1999999999998</v>
      </c>
      <c r="I6" s="2">
        <v>1266.01</v>
      </c>
      <c r="K6">
        <f t="shared" si="0"/>
        <v>12.032871643959309</v>
      </c>
      <c r="N6">
        <f t="shared" si="1"/>
        <v>3.2969283193104184</v>
      </c>
      <c r="O6">
        <f t="shared" si="2"/>
        <v>7.5914580007140824</v>
      </c>
      <c r="Q6">
        <f t="shared" si="3"/>
        <v>2.1607385681125817</v>
      </c>
    </row>
    <row r="7" spans="2:17" x14ac:dyDescent="0.3">
      <c r="B7">
        <f t="shared" si="4"/>
        <v>4</v>
      </c>
      <c r="C7" s="1">
        <f t="shared" si="5"/>
        <v>1998</v>
      </c>
      <c r="D7" s="2">
        <v>238.68</v>
      </c>
      <c r="E7" s="2">
        <v>157.32</v>
      </c>
      <c r="F7" s="2">
        <v>340.11999999999995</v>
      </c>
      <c r="G7" s="2">
        <v>274.47000000000003</v>
      </c>
      <c r="H7" s="2">
        <v>1921.6</v>
      </c>
      <c r="I7" s="2">
        <v>1166.95</v>
      </c>
      <c r="K7">
        <f t="shared" si="0"/>
        <v>15.44927182750048</v>
      </c>
      <c r="N7">
        <f t="shared" si="1"/>
        <v>3.283662990058831</v>
      </c>
      <c r="O7">
        <f t="shared" si="2"/>
        <v>7.5609134513257192</v>
      </c>
      <c r="Q7">
        <f t="shared" si="3"/>
        <v>2.3778160291720605</v>
      </c>
    </row>
    <row r="8" spans="2:17" x14ac:dyDescent="0.3">
      <c r="B8">
        <f t="shared" si="4"/>
        <v>5</v>
      </c>
      <c r="C8" s="1">
        <f t="shared" si="5"/>
        <v>1999</v>
      </c>
      <c r="D8" s="2">
        <v>173.42</v>
      </c>
      <c r="E8" s="2">
        <v>128.58000000000001</v>
      </c>
      <c r="F8" s="2">
        <v>238.62000000000006</v>
      </c>
      <c r="G8" s="2">
        <v>215.06</v>
      </c>
      <c r="H8" s="2">
        <v>1442.6</v>
      </c>
      <c r="I8" s="2">
        <v>1148.44</v>
      </c>
      <c r="K8">
        <f t="shared" si="0"/>
        <v>13.168902763708143</v>
      </c>
      <c r="N8">
        <f t="shared" si="1"/>
        <v>3.1591459278540475</v>
      </c>
      <c r="O8">
        <f t="shared" si="2"/>
        <v>7.2742023200695725</v>
      </c>
      <c r="Q8">
        <f t="shared" si="3"/>
        <v>2.2390991818873669</v>
      </c>
    </row>
    <row r="9" spans="2:17" x14ac:dyDescent="0.3">
      <c r="B9">
        <f t="shared" si="4"/>
        <v>6</v>
      </c>
      <c r="C9" s="1">
        <f t="shared" si="5"/>
        <v>2000</v>
      </c>
      <c r="D9" s="2">
        <v>195.76</v>
      </c>
      <c r="E9" s="2">
        <v>140.55000000000001</v>
      </c>
      <c r="F9" s="2">
        <v>169.04</v>
      </c>
      <c r="G9" s="2">
        <v>343.74</v>
      </c>
      <c r="H9" s="2">
        <v>2009.7999999999997</v>
      </c>
      <c r="I9" s="2">
        <v>1438.5099999999998</v>
      </c>
      <c r="K9">
        <f t="shared" si="0"/>
        <v>13.991425945914161</v>
      </c>
      <c r="N9">
        <f t="shared" si="1"/>
        <v>3.3031528418891427</v>
      </c>
      <c r="O9">
        <f t="shared" si="2"/>
        <v>7.6057904936148581</v>
      </c>
      <c r="Q9">
        <f t="shared" si="3"/>
        <v>2.2917239563437328</v>
      </c>
    </row>
    <row r="10" spans="2:17" x14ac:dyDescent="0.3">
      <c r="B10">
        <f t="shared" si="4"/>
        <v>7</v>
      </c>
      <c r="C10" s="1">
        <f t="shared" si="5"/>
        <v>2001</v>
      </c>
      <c r="D10" s="2">
        <v>174</v>
      </c>
      <c r="E10" s="2">
        <v>69.679999999999993</v>
      </c>
      <c r="F10" s="2">
        <v>136.34</v>
      </c>
      <c r="G10" s="2">
        <v>271.90999999999997</v>
      </c>
      <c r="H10" s="2">
        <v>1903.6000000000001</v>
      </c>
      <c r="I10" s="2">
        <v>1339.04</v>
      </c>
      <c r="K10">
        <f t="shared" si="0"/>
        <v>13.19090595827292</v>
      </c>
      <c r="N10">
        <f t="shared" si="1"/>
        <v>3.2795756961267197</v>
      </c>
      <c r="O10">
        <f t="shared" si="2"/>
        <v>7.5515021092469556</v>
      </c>
      <c r="Q10">
        <f t="shared" si="3"/>
        <v>2.2405492482825999</v>
      </c>
    </row>
    <row r="11" spans="2:17" x14ac:dyDescent="0.3">
      <c r="B11">
        <f t="shared" si="4"/>
        <v>8</v>
      </c>
      <c r="C11" s="1">
        <f t="shared" si="5"/>
        <v>2002</v>
      </c>
      <c r="D11" s="2">
        <v>298.26</v>
      </c>
      <c r="E11" s="2">
        <v>165.58000000000004</v>
      </c>
      <c r="F11" s="2">
        <v>201.65000000000003</v>
      </c>
      <c r="G11" s="2">
        <v>246.51</v>
      </c>
      <c r="H11" s="2">
        <v>1424.8000000000002</v>
      </c>
      <c r="I11" s="2">
        <v>1156.1200000000001</v>
      </c>
      <c r="K11">
        <f t="shared" si="0"/>
        <v>17.270205557549104</v>
      </c>
      <c r="N11">
        <f t="shared" si="1"/>
        <v>3.1537539064551874</v>
      </c>
      <c r="O11">
        <f t="shared" si="2"/>
        <v>7.2617867319754517</v>
      </c>
      <c r="Q11">
        <f t="shared" si="3"/>
        <v>2.4745950135226429</v>
      </c>
    </row>
    <row r="12" spans="2:17" x14ac:dyDescent="0.3">
      <c r="B12">
        <f t="shared" si="4"/>
        <v>9</v>
      </c>
      <c r="C12" s="1">
        <f t="shared" si="5"/>
        <v>2003</v>
      </c>
      <c r="D12" s="2">
        <v>294.79000000000002</v>
      </c>
      <c r="E12" s="2">
        <v>123.03</v>
      </c>
      <c r="F12" s="2">
        <v>240.10999999999999</v>
      </c>
      <c r="G12" s="2">
        <v>358.62000000000006</v>
      </c>
      <c r="H12" s="2">
        <v>1847.6000000000001</v>
      </c>
      <c r="I12" s="2">
        <v>1446.6399999999999</v>
      </c>
      <c r="K12">
        <f t="shared" si="0"/>
        <v>17.169449612611348</v>
      </c>
      <c r="N12">
        <f t="shared" si="1"/>
        <v>3.2666079535745092</v>
      </c>
      <c r="O12">
        <f t="shared" si="2"/>
        <v>7.5216427785564504</v>
      </c>
      <c r="Q12">
        <f t="shared" si="3"/>
        <v>2.4695127471026179</v>
      </c>
    </row>
    <row r="13" spans="2:17" x14ac:dyDescent="0.3">
      <c r="B13">
        <f t="shared" si="4"/>
        <v>10</v>
      </c>
      <c r="C13" s="1">
        <f t="shared" si="5"/>
        <v>2004</v>
      </c>
      <c r="D13" s="2">
        <v>311.64000000000004</v>
      </c>
      <c r="E13" s="2">
        <v>205.77</v>
      </c>
      <c r="F13" s="2">
        <v>287.03000000000003</v>
      </c>
      <c r="G13" s="2">
        <v>406.33000000000004</v>
      </c>
      <c r="H13" s="2">
        <v>1981.4999999999998</v>
      </c>
      <c r="I13" s="2">
        <v>1616.8000000000002</v>
      </c>
      <c r="K13">
        <f t="shared" si="0"/>
        <v>17.653328298085889</v>
      </c>
      <c r="N13">
        <f t="shared" si="1"/>
        <v>3.2969940766702086</v>
      </c>
      <c r="O13">
        <f t="shared" si="2"/>
        <v>7.5916094126304898</v>
      </c>
      <c r="Q13">
        <f t="shared" si="3"/>
        <v>2.4936531956769277</v>
      </c>
    </row>
    <row r="14" spans="2:17" x14ac:dyDescent="0.3">
      <c r="B14">
        <f t="shared" si="4"/>
        <v>11</v>
      </c>
      <c r="C14" s="1">
        <f t="shared" si="5"/>
        <v>2005</v>
      </c>
      <c r="D14" s="2">
        <v>272.83999999999997</v>
      </c>
      <c r="E14" s="2">
        <v>134.11000000000001</v>
      </c>
      <c r="F14" s="2">
        <v>234.52</v>
      </c>
      <c r="G14" s="2">
        <v>292.31</v>
      </c>
      <c r="H14" s="2">
        <v>1605.1000000000001</v>
      </c>
      <c r="I14" s="2">
        <v>1457.53</v>
      </c>
      <c r="K14">
        <f t="shared" si="0"/>
        <v>16.517869111964774</v>
      </c>
      <c r="N14">
        <f t="shared" si="1"/>
        <v>3.2055020947441957</v>
      </c>
      <c r="O14">
        <f t="shared" si="2"/>
        <v>7.3809413389191718</v>
      </c>
      <c r="Q14">
        <f t="shared" si="3"/>
        <v>2.4359080408591103</v>
      </c>
    </row>
    <row r="15" spans="2:17" x14ac:dyDescent="0.3">
      <c r="B15">
        <f t="shared" si="4"/>
        <v>12</v>
      </c>
      <c r="C15" s="1">
        <f t="shared" si="5"/>
        <v>2006</v>
      </c>
      <c r="D15" s="2">
        <v>290.03999999999996</v>
      </c>
      <c r="E15" s="2">
        <v>180.53000000000003</v>
      </c>
      <c r="F15" s="2">
        <v>210.89999999999998</v>
      </c>
      <c r="G15" s="2">
        <v>329.72</v>
      </c>
      <c r="H15" s="2">
        <v>1929.2</v>
      </c>
      <c r="I15" s="2">
        <v>1439.9699999999998</v>
      </c>
      <c r="K15">
        <f t="shared" si="0"/>
        <v>17.030560765870277</v>
      </c>
      <c r="N15">
        <f t="shared" si="1"/>
        <v>3.2853772532498451</v>
      </c>
      <c r="O15">
        <f t="shared" si="2"/>
        <v>7.5648606881948171</v>
      </c>
      <c r="Q15">
        <f t="shared" si="3"/>
        <v>2.462457896455275</v>
      </c>
    </row>
    <row r="16" spans="2:17" x14ac:dyDescent="0.3">
      <c r="B16">
        <f t="shared" si="4"/>
        <v>13</v>
      </c>
      <c r="C16" s="1">
        <f t="shared" si="5"/>
        <v>2007</v>
      </c>
      <c r="D16" s="2">
        <v>304.20999999999998</v>
      </c>
      <c r="E16" s="2">
        <v>241.17999999999998</v>
      </c>
      <c r="F16" s="2">
        <v>268.84999999999997</v>
      </c>
      <c r="G16" s="2">
        <v>394.9</v>
      </c>
      <c r="H16" s="2">
        <v>1360.8</v>
      </c>
      <c r="I16" s="2">
        <v>1050.98</v>
      </c>
      <c r="K16">
        <f t="shared" si="0"/>
        <v>17.441616897524149</v>
      </c>
      <c r="N16">
        <f t="shared" si="1"/>
        <v>3.1337943006045128</v>
      </c>
      <c r="O16">
        <f t="shared" si="2"/>
        <v>7.215828041081652</v>
      </c>
      <c r="Q16">
        <f t="shared" si="3"/>
        <v>2.4831734860925141</v>
      </c>
    </row>
    <row r="17" spans="2:17" x14ac:dyDescent="0.3">
      <c r="B17">
        <f t="shared" si="4"/>
        <v>14</v>
      </c>
      <c r="C17" s="1">
        <f t="shared" si="5"/>
        <v>2008</v>
      </c>
      <c r="D17" s="2">
        <v>150.24</v>
      </c>
      <c r="E17" s="2">
        <v>58.070000000000007</v>
      </c>
      <c r="F17" s="2">
        <v>121.60000000000001</v>
      </c>
      <c r="G17" s="2">
        <v>191.05999999999997</v>
      </c>
      <c r="H17" s="2">
        <v>1828.2999999999997</v>
      </c>
      <c r="I17" s="2">
        <v>1289.6600000000001</v>
      </c>
      <c r="K17">
        <f t="shared" si="0"/>
        <v>12.25724275683565</v>
      </c>
      <c r="N17">
        <f t="shared" si="1"/>
        <v>3.2620474592614253</v>
      </c>
      <c r="O17">
        <f t="shared" si="2"/>
        <v>7.5111418523344593</v>
      </c>
      <c r="Q17">
        <f t="shared" si="3"/>
        <v>2.1767855749220359</v>
      </c>
    </row>
    <row r="18" spans="2:17" x14ac:dyDescent="0.3">
      <c r="B18">
        <f t="shared" si="4"/>
        <v>15</v>
      </c>
      <c r="C18" s="1">
        <f t="shared" si="5"/>
        <v>2009</v>
      </c>
      <c r="D18" s="2">
        <v>213.82</v>
      </c>
      <c r="E18" s="2">
        <v>124.42</v>
      </c>
      <c r="F18" s="2">
        <v>292.77000000000004</v>
      </c>
      <c r="G18" s="2">
        <v>336.46</v>
      </c>
      <c r="H18" s="2">
        <v>1438.8000000000002</v>
      </c>
      <c r="I18" s="2">
        <v>995.59999999999991</v>
      </c>
      <c r="K18">
        <f t="shared" si="0"/>
        <v>14.622585270737867</v>
      </c>
      <c r="N18">
        <f t="shared" si="1"/>
        <v>3.1580004291464734</v>
      </c>
      <c r="O18">
        <f t="shared" si="2"/>
        <v>7.271564711821469</v>
      </c>
      <c r="Q18">
        <f t="shared" si="3"/>
        <v>2.3300483252104627</v>
      </c>
    </row>
    <row r="19" spans="2:17" x14ac:dyDescent="0.3">
      <c r="B19">
        <f t="shared" si="4"/>
        <v>16</v>
      </c>
      <c r="C19" s="1">
        <f t="shared" si="5"/>
        <v>2010</v>
      </c>
      <c r="D19" s="2">
        <v>183.41999999999996</v>
      </c>
      <c r="E19" s="2">
        <v>92.149999999999991</v>
      </c>
      <c r="F19" s="2">
        <v>163.5</v>
      </c>
      <c r="G19" s="2">
        <v>193.62000000000003</v>
      </c>
      <c r="H19" s="2">
        <v>1336.1000000000001</v>
      </c>
      <c r="I19" s="2">
        <v>831.42</v>
      </c>
      <c r="K19">
        <f t="shared" si="0"/>
        <v>13.543264008354853</v>
      </c>
      <c r="N19">
        <f t="shared" si="1"/>
        <v>3.1258389639950042</v>
      </c>
      <c r="O19">
        <f t="shared" si="2"/>
        <v>7.1975102015948487</v>
      </c>
      <c r="Q19">
        <f t="shared" si="3"/>
        <v>2.2634466891097325</v>
      </c>
    </row>
    <row r="20" spans="2:17" x14ac:dyDescent="0.3">
      <c r="B20">
        <f t="shared" si="4"/>
        <v>17</v>
      </c>
      <c r="C20" s="1">
        <f t="shared" si="5"/>
        <v>2011</v>
      </c>
      <c r="D20" s="2">
        <v>355.64000000000004</v>
      </c>
      <c r="E20" s="2">
        <v>163.30000000000001</v>
      </c>
      <c r="F20" s="2">
        <v>205.11000000000004</v>
      </c>
      <c r="G20" s="2">
        <v>286.28000000000003</v>
      </c>
      <c r="H20" s="2">
        <v>2914.1</v>
      </c>
      <c r="I20" s="2">
        <v>1824.76</v>
      </c>
      <c r="K20">
        <f t="shared" si="0"/>
        <v>18.858419870180004</v>
      </c>
      <c r="N20">
        <f t="shared" si="1"/>
        <v>3.4645044509010341</v>
      </c>
      <c r="O20">
        <f t="shared" si="2"/>
        <v>7.9773163032562433</v>
      </c>
      <c r="Q20">
        <f t="shared" si="3"/>
        <v>2.5510106015735108</v>
      </c>
    </row>
    <row r="21" spans="2:17" x14ac:dyDescent="0.3">
      <c r="B21">
        <f t="shared" si="4"/>
        <v>18</v>
      </c>
      <c r="C21" s="1">
        <f t="shared" si="5"/>
        <v>2012</v>
      </c>
      <c r="D21" s="2">
        <v>239.62</v>
      </c>
      <c r="E21" s="2">
        <v>149.16999999999999</v>
      </c>
      <c r="F21" s="2">
        <v>318.41999999999996</v>
      </c>
      <c r="G21" s="2">
        <v>292.76</v>
      </c>
      <c r="H21" s="2">
        <v>1926.7</v>
      </c>
      <c r="I21" s="2">
        <v>1224.58</v>
      </c>
      <c r="K21">
        <f t="shared" si="0"/>
        <v>15.479664079042543</v>
      </c>
      <c r="N21">
        <f t="shared" si="1"/>
        <v>3.2848140973812314</v>
      </c>
      <c r="O21">
        <f t="shared" si="2"/>
        <v>7.5635639738867146</v>
      </c>
      <c r="Q21">
        <f t="shared" si="3"/>
        <v>2.379523063830554</v>
      </c>
    </row>
    <row r="22" spans="2:17" x14ac:dyDescent="0.3">
      <c r="B22">
        <f t="shared" si="4"/>
        <v>19</v>
      </c>
      <c r="C22" s="1">
        <f t="shared" si="5"/>
        <v>2013</v>
      </c>
      <c r="D22" s="2">
        <v>157.66</v>
      </c>
      <c r="E22" s="2">
        <v>105.64</v>
      </c>
      <c r="F22" s="2">
        <v>193.74</v>
      </c>
      <c r="G22" s="2">
        <v>198.03</v>
      </c>
      <c r="H22" s="2">
        <v>1609</v>
      </c>
      <c r="I22" s="2">
        <v>1304.83</v>
      </c>
      <c r="K22">
        <f t="shared" si="0"/>
        <v>12.556273332482055</v>
      </c>
      <c r="N22">
        <f t="shared" si="1"/>
        <v>3.2065560440990297</v>
      </c>
      <c r="O22">
        <f t="shared" si="2"/>
        <v>7.3833681469923835</v>
      </c>
      <c r="Q22">
        <f t="shared" si="3"/>
        <v>2.1977215222268653</v>
      </c>
    </row>
    <row r="23" spans="2:17" x14ac:dyDescent="0.3">
      <c r="B23">
        <f t="shared" si="4"/>
        <v>20</v>
      </c>
      <c r="C23" s="1">
        <f t="shared" si="5"/>
        <v>2014</v>
      </c>
      <c r="D23" s="2">
        <v>118.29999999999998</v>
      </c>
      <c r="E23" s="2">
        <v>91.919999999999987</v>
      </c>
      <c r="F23" s="2">
        <v>226.48999999999998</v>
      </c>
      <c r="G23" s="2">
        <v>322.14999999999998</v>
      </c>
      <c r="H23" s="2">
        <v>1568.6000000000001</v>
      </c>
      <c r="I23" s="2">
        <v>1119.95</v>
      </c>
      <c r="K23">
        <f t="shared" si="0"/>
        <v>10.876580344942981</v>
      </c>
      <c r="N23">
        <f t="shared" si="1"/>
        <v>3.1955122106740719</v>
      </c>
      <c r="O23">
        <f t="shared" si="2"/>
        <v>7.3579387807785661</v>
      </c>
      <c r="Q23">
        <f t="shared" si="3"/>
        <v>2.0729847446279304</v>
      </c>
    </row>
    <row r="24" spans="2:17" x14ac:dyDescent="0.3">
      <c r="B24">
        <f t="shared" si="4"/>
        <v>21</v>
      </c>
      <c r="C24" s="1">
        <f t="shared" si="5"/>
        <v>2015</v>
      </c>
      <c r="D24" s="2">
        <v>205.39999999999998</v>
      </c>
      <c r="E24" s="2">
        <v>123.34</v>
      </c>
      <c r="F24" s="2">
        <v>198.09000000000003</v>
      </c>
      <c r="G24" s="2">
        <v>293.04000000000002</v>
      </c>
      <c r="H24" s="2">
        <v>1771.9</v>
      </c>
      <c r="I24" s="2">
        <v>1438.4199999999998</v>
      </c>
      <c r="K24">
        <f t="shared" si="0"/>
        <v>14.331782861877302</v>
      </c>
      <c r="N24">
        <f t="shared" si="1"/>
        <v>3.2484392081415105</v>
      </c>
      <c r="O24">
        <f t="shared" si="2"/>
        <v>7.4798076961640234</v>
      </c>
      <c r="Q24">
        <f t="shared" si="3"/>
        <v>2.3126004392612591</v>
      </c>
    </row>
    <row r="25" spans="2:17" x14ac:dyDescent="0.3">
      <c r="B25">
        <f t="shared" si="4"/>
        <v>22</v>
      </c>
      <c r="C25" s="1">
        <f t="shared" si="5"/>
        <v>2016</v>
      </c>
      <c r="D25" s="2">
        <v>151.09</v>
      </c>
      <c r="E25" s="2">
        <v>119.92</v>
      </c>
      <c r="F25" s="2">
        <v>251.76</v>
      </c>
      <c r="G25" s="2">
        <v>288.96999999999997</v>
      </c>
      <c r="H25" s="2">
        <v>2147.6999999999998</v>
      </c>
      <c r="I25" s="2">
        <v>1426.06</v>
      </c>
      <c r="K25">
        <f t="shared" si="0"/>
        <v>12.29186723000212</v>
      </c>
      <c r="N25">
        <f t="shared" si="1"/>
        <v>3.3319736171374963</v>
      </c>
      <c r="O25">
        <f t="shared" si="2"/>
        <v>7.672152781070249</v>
      </c>
      <c r="Q25">
        <f t="shared" si="3"/>
        <v>2.1792357211984807</v>
      </c>
    </row>
    <row r="26" spans="2:17" x14ac:dyDescent="0.3">
      <c r="B26">
        <f t="shared" si="4"/>
        <v>23</v>
      </c>
      <c r="C26" s="1">
        <f t="shared" si="5"/>
        <v>2017</v>
      </c>
      <c r="D26" s="2">
        <v>165.24999999999997</v>
      </c>
      <c r="E26" s="2">
        <v>74.56</v>
      </c>
      <c r="F26" s="2">
        <v>249.64</v>
      </c>
      <c r="G26" s="2">
        <v>238.88000000000002</v>
      </c>
      <c r="H26" s="2">
        <v>1609.2</v>
      </c>
      <c r="I26" s="2">
        <v>932.24999999999989</v>
      </c>
      <c r="K26">
        <f t="shared" si="0"/>
        <v>12.854960132182439</v>
      </c>
      <c r="N26">
        <f t="shared" si="1"/>
        <v>3.2066100238992239</v>
      </c>
      <c r="O26">
        <f t="shared" si="2"/>
        <v>7.3834924400756332</v>
      </c>
      <c r="Q26">
        <f t="shared" si="3"/>
        <v>2.2181414681576777</v>
      </c>
    </row>
    <row r="27" spans="2:17" x14ac:dyDescent="0.3">
      <c r="B27">
        <f t="shared" si="4"/>
        <v>24</v>
      </c>
      <c r="C27" s="1">
        <f t="shared" si="5"/>
        <v>2018</v>
      </c>
      <c r="D27" s="2">
        <v>252</v>
      </c>
      <c r="E27" s="2">
        <v>123.13</v>
      </c>
      <c r="F27" s="2">
        <v>237.93000000000004</v>
      </c>
      <c r="G27" s="2">
        <v>397</v>
      </c>
      <c r="H27" s="2">
        <v>1536.46</v>
      </c>
      <c r="I27" s="2">
        <v>911.17</v>
      </c>
      <c r="K27">
        <f t="shared" si="0"/>
        <v>15.874507866387544</v>
      </c>
      <c r="N27">
        <f t="shared" si="1"/>
        <v>3.1865212583734568</v>
      </c>
      <c r="O27">
        <f t="shared" si="2"/>
        <v>7.3372363480393501</v>
      </c>
      <c r="Q27">
        <f t="shared" si="3"/>
        <v>2.4014005407815442</v>
      </c>
    </row>
    <row r="28" spans="2:17" x14ac:dyDescent="0.3">
      <c r="C28" s="1">
        <f t="shared" si="5"/>
        <v>2019</v>
      </c>
      <c r="D28" s="2">
        <v>325.44</v>
      </c>
      <c r="E28" s="2">
        <v>174.71</v>
      </c>
      <c r="F28" s="2">
        <v>307.92999999999995</v>
      </c>
      <c r="G28" s="2">
        <v>504.85</v>
      </c>
      <c r="H28" s="2">
        <v>1961.1499999999999</v>
      </c>
      <c r="I28" s="2">
        <v>1655.17</v>
      </c>
      <c r="K28">
        <f t="shared" si="0"/>
        <v>18.039955654047489</v>
      </c>
      <c r="N28">
        <f t="shared" si="1"/>
        <v>3.2925108122710078</v>
      </c>
      <c r="O28">
        <f t="shared" si="2"/>
        <v>7.5812863148569392</v>
      </c>
    </row>
    <row r="29" spans="2:17" x14ac:dyDescent="0.3">
      <c r="C29" s="1">
        <f t="shared" si="5"/>
        <v>2020</v>
      </c>
      <c r="D29" s="2">
        <v>437.34</v>
      </c>
      <c r="E29" s="2">
        <v>160.70000000000002</v>
      </c>
      <c r="F29" s="2">
        <v>302.48999999999995</v>
      </c>
      <c r="G29" s="2">
        <v>375.18</v>
      </c>
      <c r="H29" s="2">
        <v>1646.65</v>
      </c>
      <c r="I29" s="2">
        <v>1490.8799999999999</v>
      </c>
      <c r="K29">
        <f t="shared" si="0"/>
        <v>20.912675582048319</v>
      </c>
      <c r="N29">
        <f t="shared" si="1"/>
        <v>3.2166012984886021</v>
      </c>
      <c r="O29">
        <f t="shared" si="2"/>
        <v>7.4064982000051467</v>
      </c>
    </row>
    <row r="30" spans="2:17" x14ac:dyDescent="0.3">
      <c r="C30" s="1">
        <f t="shared" si="5"/>
        <v>2021</v>
      </c>
      <c r="D30" s="2">
        <v>148.38999999999999</v>
      </c>
      <c r="E30" s="2">
        <v>83.589999999999989</v>
      </c>
      <c r="F30" s="2">
        <v>73.13</v>
      </c>
      <c r="G30" s="2">
        <v>194.36</v>
      </c>
      <c r="H30" s="2">
        <v>1329.8600000000001</v>
      </c>
      <c r="I30" s="2">
        <v>1128.7600000000002</v>
      </c>
      <c r="K30">
        <f t="shared" si="0"/>
        <v>12.181543416168576</v>
      </c>
      <c r="N30">
        <f t="shared" si="1"/>
        <v>3.123805923352232</v>
      </c>
      <c r="O30">
        <f t="shared" si="2"/>
        <v>7.1928289525173499</v>
      </c>
    </row>
    <row r="31" spans="2:17" x14ac:dyDescent="0.3">
      <c r="C31" s="1">
        <f t="shared" si="5"/>
        <v>2022</v>
      </c>
      <c r="D31" s="2">
        <v>129.79</v>
      </c>
      <c r="E31" s="2">
        <v>64.010000000000005</v>
      </c>
      <c r="F31" s="2">
        <v>215.63</v>
      </c>
      <c r="G31" s="2">
        <v>193.05</v>
      </c>
      <c r="H31" s="2">
        <v>1362.9099999999999</v>
      </c>
      <c r="I31" s="2">
        <v>1037.8699999999999</v>
      </c>
      <c r="K31">
        <f t="shared" si="0"/>
        <v>11.392541419718428</v>
      </c>
      <c r="N31">
        <f t="shared" si="1"/>
        <v>3.1344671780695341</v>
      </c>
      <c r="O31">
        <f t="shared" si="2"/>
        <v>7.2173773987020224</v>
      </c>
    </row>
    <row r="32" spans="2:17" x14ac:dyDescent="0.3">
      <c r="C32" s="1">
        <f t="shared" si="5"/>
        <v>2023</v>
      </c>
      <c r="D32" s="2">
        <v>165.61000000000004</v>
      </c>
      <c r="E32" s="2">
        <v>75.450000000000017</v>
      </c>
      <c r="F32" s="2">
        <v>91.7</v>
      </c>
      <c r="G32" s="2">
        <v>168.12</v>
      </c>
      <c r="H32" s="2">
        <v>2025.84</v>
      </c>
      <c r="I32" s="2">
        <v>1208.99</v>
      </c>
      <c r="K32">
        <f t="shared" si="0"/>
        <v>12.868954891520913</v>
      </c>
      <c r="N32">
        <f t="shared" si="1"/>
        <v>3.3066051419812883</v>
      </c>
      <c r="O32">
        <f t="shared" si="2"/>
        <v>7.6137397083435738</v>
      </c>
    </row>
    <row r="33" spans="3:15" x14ac:dyDescent="0.3">
      <c r="C33" s="1">
        <f t="shared" si="5"/>
        <v>2024</v>
      </c>
      <c r="D33" s="2">
        <v>185.93999999999997</v>
      </c>
      <c r="E33" s="2">
        <v>99.06</v>
      </c>
      <c r="F33" s="2">
        <v>231.11999999999998</v>
      </c>
      <c r="G33" s="2">
        <v>285.99</v>
      </c>
      <c r="H33" s="2">
        <v>1961.83</v>
      </c>
      <c r="I33" s="2">
        <v>1443.77</v>
      </c>
      <c r="K33">
        <f t="shared" si="0"/>
        <v>13.635981812836214</v>
      </c>
      <c r="N33">
        <f t="shared" si="1"/>
        <v>3.2926613714126054</v>
      </c>
      <c r="O33">
        <f t="shared" si="2"/>
        <v>7.5816329900919959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8"/>
  <sheetViews>
    <sheetView workbookViewId="0">
      <selection activeCell="AS33" sqref="AS33"/>
    </sheetView>
  </sheetViews>
  <sheetFormatPr defaultRowHeight="14.4" x14ac:dyDescent="0.3"/>
  <cols>
    <col min="9" max="9" width="8.88671875" style="3"/>
    <col min="17" max="17" width="8.88671875" style="3"/>
    <col min="25" max="25" width="8.88671875" style="3"/>
    <col min="33" max="33" width="8.88671875" style="3"/>
    <col min="41" max="41" width="8.88671875" style="3"/>
  </cols>
  <sheetData>
    <row r="1" spans="2:55" x14ac:dyDescent="0.3">
      <c r="C1" t="s">
        <v>20</v>
      </c>
      <c r="J1" t="s">
        <v>21</v>
      </c>
      <c r="R1" t="s">
        <v>22</v>
      </c>
      <c r="Z1" t="s">
        <v>23</v>
      </c>
      <c r="AH1" t="s">
        <v>11</v>
      </c>
      <c r="AP1" t="s">
        <v>9</v>
      </c>
    </row>
    <row r="2" spans="2:55" x14ac:dyDescent="0.3">
      <c r="AP2">
        <v>1</v>
      </c>
      <c r="AQ2">
        <v>2</v>
      </c>
      <c r="AR2">
        <v>3</v>
      </c>
      <c r="AS2">
        <v>4</v>
      </c>
      <c r="AT2">
        <v>1</v>
      </c>
      <c r="AU2">
        <v>1</v>
      </c>
      <c r="AV2">
        <v>1</v>
      </c>
      <c r="AW2">
        <v>1</v>
      </c>
      <c r="AX2">
        <v>2</v>
      </c>
      <c r="AY2">
        <v>3</v>
      </c>
      <c r="AZ2">
        <v>4</v>
      </c>
      <c r="BA2">
        <v>1</v>
      </c>
      <c r="BB2">
        <v>1</v>
      </c>
      <c r="BC2">
        <v>1</v>
      </c>
    </row>
    <row r="3" spans="2:55" x14ac:dyDescent="0.3">
      <c r="B3">
        <v>1</v>
      </c>
      <c r="C3">
        <v>2</v>
      </c>
      <c r="D3">
        <v>3</v>
      </c>
      <c r="E3">
        <v>4</v>
      </c>
      <c r="F3">
        <v>1</v>
      </c>
      <c r="G3">
        <v>1</v>
      </c>
      <c r="H3">
        <v>1</v>
      </c>
      <c r="J3">
        <v>1</v>
      </c>
      <c r="K3">
        <v>2</v>
      </c>
      <c r="L3">
        <v>3</v>
      </c>
      <c r="M3">
        <v>4</v>
      </c>
      <c r="N3">
        <v>1</v>
      </c>
      <c r="O3">
        <v>1</v>
      </c>
      <c r="P3">
        <v>1</v>
      </c>
      <c r="R3">
        <v>1</v>
      </c>
      <c r="S3">
        <v>2</v>
      </c>
      <c r="T3">
        <v>3</v>
      </c>
      <c r="U3">
        <v>4</v>
      </c>
      <c r="V3">
        <v>1</v>
      </c>
      <c r="W3">
        <v>1</v>
      </c>
      <c r="X3">
        <v>1</v>
      </c>
      <c r="Z3">
        <v>1</v>
      </c>
      <c r="AA3">
        <v>2</v>
      </c>
      <c r="AB3">
        <v>3</v>
      </c>
      <c r="AC3">
        <v>4</v>
      </c>
      <c r="AD3">
        <v>1</v>
      </c>
      <c r="AE3">
        <v>1</v>
      </c>
      <c r="AF3">
        <v>1</v>
      </c>
      <c r="AH3">
        <v>1</v>
      </c>
      <c r="AI3">
        <v>2</v>
      </c>
      <c r="AJ3">
        <v>3</v>
      </c>
      <c r="AK3">
        <v>4</v>
      </c>
      <c r="AL3">
        <v>1</v>
      </c>
      <c r="AM3">
        <v>1</v>
      </c>
      <c r="AN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</row>
    <row r="4" spans="2:55" x14ac:dyDescent="0.3">
      <c r="B4">
        <v>1</v>
      </c>
      <c r="C4">
        <v>1</v>
      </c>
      <c r="D4">
        <v>1</v>
      </c>
      <c r="E4">
        <v>1</v>
      </c>
      <c r="F4">
        <v>2</v>
      </c>
      <c r="G4">
        <v>3</v>
      </c>
      <c r="H4">
        <v>4</v>
      </c>
      <c r="J4">
        <v>1</v>
      </c>
      <c r="K4">
        <v>1</v>
      </c>
      <c r="L4">
        <v>1</v>
      </c>
      <c r="M4">
        <v>1</v>
      </c>
      <c r="N4">
        <v>2</v>
      </c>
      <c r="O4">
        <v>3</v>
      </c>
      <c r="P4">
        <v>4</v>
      </c>
      <c r="R4">
        <v>1</v>
      </c>
      <c r="S4">
        <v>1</v>
      </c>
      <c r="T4">
        <v>1</v>
      </c>
      <c r="U4">
        <v>1</v>
      </c>
      <c r="V4">
        <v>2</v>
      </c>
      <c r="W4">
        <v>3</v>
      </c>
      <c r="X4">
        <v>4</v>
      </c>
      <c r="Z4">
        <v>1</v>
      </c>
      <c r="AA4">
        <v>1</v>
      </c>
      <c r="AB4">
        <v>1</v>
      </c>
      <c r="AC4">
        <v>1</v>
      </c>
      <c r="AD4">
        <v>2</v>
      </c>
      <c r="AE4">
        <v>3</v>
      </c>
      <c r="AF4">
        <v>4</v>
      </c>
      <c r="AH4">
        <v>1</v>
      </c>
      <c r="AI4">
        <v>1</v>
      </c>
      <c r="AJ4">
        <v>1</v>
      </c>
      <c r="AK4">
        <v>1</v>
      </c>
      <c r="AL4">
        <v>2</v>
      </c>
      <c r="AM4">
        <v>3</v>
      </c>
      <c r="AN4">
        <v>4</v>
      </c>
      <c r="AP4">
        <v>1</v>
      </c>
      <c r="AQ4">
        <v>1</v>
      </c>
      <c r="AR4">
        <v>1</v>
      </c>
      <c r="AS4">
        <v>1</v>
      </c>
      <c r="AT4">
        <v>2</v>
      </c>
      <c r="AU4">
        <v>3</v>
      </c>
      <c r="AV4">
        <v>4</v>
      </c>
      <c r="AW4">
        <v>1</v>
      </c>
      <c r="AX4">
        <v>1</v>
      </c>
      <c r="AY4">
        <v>1</v>
      </c>
      <c r="AZ4">
        <v>1</v>
      </c>
      <c r="BA4">
        <v>2</v>
      </c>
      <c r="BB4">
        <v>3</v>
      </c>
      <c r="BC4">
        <v>4</v>
      </c>
    </row>
    <row r="5" spans="2:55" x14ac:dyDescent="0.3">
      <c r="B5" s="5">
        <v>-2.9889361097788703</v>
      </c>
      <c r="C5" s="5">
        <v>-1.4596489125412078</v>
      </c>
      <c r="D5" s="5">
        <v>-0.86762681708349698</v>
      </c>
      <c r="E5" s="5">
        <v>-0.74600666987620901</v>
      </c>
      <c r="F5" s="5">
        <v>-3.2964031805161622</v>
      </c>
      <c r="G5" s="5">
        <v>-0.24007824263746144</v>
      </c>
      <c r="H5" s="5">
        <v>-2.6188756852742081</v>
      </c>
      <c r="J5" s="5">
        <v>-36.376824991363108</v>
      </c>
      <c r="K5" s="5">
        <v>-36.338828503192786</v>
      </c>
      <c r="L5" s="5">
        <v>-42.232803746794815</v>
      </c>
      <c r="M5" s="5">
        <v>-36.309900431802333</v>
      </c>
      <c r="N5" s="5">
        <v>-36.34482280852189</v>
      </c>
      <c r="O5" s="5">
        <v>-36.282370361122382</v>
      </c>
      <c r="P5" s="5">
        <v>-65.943614988162111</v>
      </c>
      <c r="R5" s="5">
        <v>-50.326513727512769</v>
      </c>
      <c r="S5" s="5">
        <v>-48.514236510308145</v>
      </c>
      <c r="T5" s="5">
        <v>-51.891707059346786</v>
      </c>
      <c r="U5" s="5">
        <v>-51.996558553550884</v>
      </c>
      <c r="V5" s="5">
        <v>-71.344364221543714</v>
      </c>
      <c r="W5" s="5">
        <v>-72.319995642859297</v>
      </c>
      <c r="X5" s="5">
        <v>-61.369705798119654</v>
      </c>
      <c r="Z5" s="5">
        <v>-4.9013296571125881E-2</v>
      </c>
      <c r="AA5" s="5">
        <v>-2.5960666501104152E-2</v>
      </c>
      <c r="AB5" s="5">
        <v>-6.0702533403825143E-2</v>
      </c>
      <c r="AC5" s="5">
        <v>-1.9760852112193403E-2</v>
      </c>
      <c r="AD5" s="5">
        <v>-2.3964921683992391E-2</v>
      </c>
      <c r="AE5" s="5"/>
      <c r="AF5" s="5">
        <v>-4.6021215941156587E-2</v>
      </c>
      <c r="AH5" s="5">
        <v>-225.14981314047762</v>
      </c>
      <c r="AI5" s="5">
        <v>-220.96894967853825</v>
      </c>
      <c r="AJ5" s="5">
        <v>-141.66232811198091</v>
      </c>
      <c r="AK5" s="5">
        <v>-112.00851964280287</v>
      </c>
      <c r="AL5" s="5">
        <v>-220.96894967853825</v>
      </c>
      <c r="AM5" s="5">
        <v>-141.66232811198091</v>
      </c>
      <c r="AN5" s="5">
        <v>-112.00851964280287</v>
      </c>
      <c r="AP5" s="5">
        <v>17.879185696572211</v>
      </c>
      <c r="AQ5" s="5">
        <v>4.6755804805611376</v>
      </c>
      <c r="AR5" s="5">
        <v>21.90197542037404</v>
      </c>
      <c r="AS5" s="5">
        <v>17.954030772178022</v>
      </c>
      <c r="AT5" s="5">
        <v>6.5913678931387043</v>
      </c>
      <c r="AU5" s="5">
        <v>18.983933017927527</v>
      </c>
      <c r="AV5" s="5">
        <v>11.672750775403946</v>
      </c>
      <c r="AW5" s="5"/>
      <c r="AX5" s="5"/>
      <c r="AY5" s="5"/>
      <c r="AZ5" s="5"/>
      <c r="BA5" s="5"/>
      <c r="BB5" s="5"/>
      <c r="BC5" s="5"/>
    </row>
    <row r="6" spans="2:55" x14ac:dyDescent="0.3">
      <c r="B6" s="5">
        <v>4.2100866692975822</v>
      </c>
      <c r="C6" s="5">
        <v>2.3755995294057382</v>
      </c>
      <c r="D6" s="5">
        <v>1.8039246455907674</v>
      </c>
      <c r="E6" s="5">
        <v>1.7616402336988966</v>
      </c>
      <c r="F6" s="5">
        <v>3.5302584614657428</v>
      </c>
      <c r="G6" s="5">
        <v>1.6155535194198025</v>
      </c>
      <c r="H6" s="5">
        <v>2.7226044479689229</v>
      </c>
      <c r="J6" s="5">
        <v>87.976803025647641</v>
      </c>
      <c r="K6" s="5">
        <v>88.055109000995046</v>
      </c>
      <c r="L6" s="5">
        <v>91.955318205988902</v>
      </c>
      <c r="M6" s="5">
        <v>87.994361437596027</v>
      </c>
      <c r="N6" s="5">
        <v>88.064669525470862</v>
      </c>
      <c r="O6" s="5">
        <v>87.979890692972347</v>
      </c>
      <c r="P6" s="5">
        <v>78.070971434496954</v>
      </c>
      <c r="R6" s="5">
        <v>118.33784653754603</v>
      </c>
      <c r="S6" s="5">
        <v>117.0033745552505</v>
      </c>
      <c r="T6" s="5">
        <v>115.48091253169942</v>
      </c>
      <c r="U6" s="5">
        <v>112.66192135854924</v>
      </c>
      <c r="V6" s="5">
        <v>52.517824992628704</v>
      </c>
      <c r="W6" s="5">
        <v>98.365214592418354</v>
      </c>
      <c r="X6" s="5">
        <v>65.863516884791096</v>
      </c>
      <c r="Z6" s="5">
        <v>-9.0551639567897177E-2</v>
      </c>
      <c r="AA6" s="5">
        <v>-4.3093586182452764E-2</v>
      </c>
      <c r="AB6" s="5">
        <v>-8.2771403907874644E-2</v>
      </c>
      <c r="AC6" s="5">
        <v>-4.7585277673455779E-2</v>
      </c>
      <c r="AD6" s="5">
        <v>-7.7011513725059502E-2</v>
      </c>
      <c r="AE6" s="5"/>
      <c r="AF6" s="5">
        <v>-5.5729271044540896E-2</v>
      </c>
      <c r="AH6" s="5">
        <v>-130.60169651130067</v>
      </c>
      <c r="AI6" s="5">
        <v>-166.02237208356522</v>
      </c>
      <c r="AJ6" s="5">
        <v>-105.05233581959132</v>
      </c>
      <c r="AK6" s="5">
        <v>-102.62103051172357</v>
      </c>
      <c r="AL6" s="5">
        <v>-166.02237208356522</v>
      </c>
      <c r="AM6" s="5">
        <v>-105.05233581959132</v>
      </c>
      <c r="AN6" s="5">
        <v>-102.62103051172357</v>
      </c>
      <c r="AP6" s="5">
        <v>-26.888994788478801</v>
      </c>
      <c r="AQ6" s="5">
        <v>-46.813782762177972</v>
      </c>
      <c r="AR6" s="5">
        <v>-20.636491507587667</v>
      </c>
      <c r="AS6" s="5">
        <v>-24.597827035866441</v>
      </c>
      <c r="AT6" s="5">
        <v>-43.042521816100155</v>
      </c>
      <c r="AU6" s="5">
        <v>-26.914619256164102</v>
      </c>
      <c r="AV6" s="5">
        <v>-34.613677897587266</v>
      </c>
      <c r="AW6" s="5">
        <v>-33.613114187363664</v>
      </c>
      <c r="AX6" s="5">
        <v>-35.164694800154521</v>
      </c>
      <c r="AY6" s="5">
        <v>-36.999613214809209</v>
      </c>
      <c r="AZ6" s="5">
        <v>-52.898079171080568</v>
      </c>
      <c r="BA6" s="5">
        <v>-36.379508486322848</v>
      </c>
      <c r="BB6" s="5">
        <v>-38.112972578891096</v>
      </c>
      <c r="BC6" s="5">
        <v>-38.604068229209133</v>
      </c>
    </row>
    <row r="7" spans="2:55" x14ac:dyDescent="0.3">
      <c r="B7" s="5">
        <v>-2.9421127530629585</v>
      </c>
      <c r="C7" s="5">
        <v>-0.94483209680815272</v>
      </c>
      <c r="D7" s="5">
        <v>-0.73314802284105629</v>
      </c>
      <c r="E7" s="5">
        <v>-0.72122185912068104</v>
      </c>
      <c r="F7" s="5">
        <v>-3.3508916455440194</v>
      </c>
      <c r="G7" s="5">
        <v>-0.93500441363281328</v>
      </c>
      <c r="H7" s="5">
        <v>-2.4751153037574118</v>
      </c>
      <c r="J7" s="5">
        <v>-8.7916144780588326</v>
      </c>
      <c r="K7" s="5">
        <v>-9.0381460692352178</v>
      </c>
      <c r="L7" s="5">
        <v>-11.265811252916123</v>
      </c>
      <c r="M7" s="5">
        <v>-8.7662250240137141</v>
      </c>
      <c r="N7" s="5">
        <v>-9.0577277955116688</v>
      </c>
      <c r="O7" s="5">
        <v>-8.8651177597758366</v>
      </c>
      <c r="P7" s="5">
        <v>-34.076365281106128</v>
      </c>
      <c r="R7" s="5">
        <v>-8.6643005717521664</v>
      </c>
      <c r="S7" s="5">
        <v>-8.0082946542119728</v>
      </c>
      <c r="T7" s="5">
        <v>-9.7711276215011225</v>
      </c>
      <c r="U7" s="5">
        <v>-8.9248179934092278</v>
      </c>
      <c r="V7" s="5">
        <v>7.1147170227551371</v>
      </c>
      <c r="W7" s="5">
        <v>-26.145678651987364</v>
      </c>
      <c r="X7" s="5">
        <v>11.912871223190713</v>
      </c>
      <c r="Z7" s="5">
        <v>-9.1908811780211375E-3</v>
      </c>
      <c r="AA7" s="5">
        <v>6.6254325660931451E-3</v>
      </c>
      <c r="AB7" s="5">
        <v>1.3696563950359314E-3</v>
      </c>
      <c r="AC7" s="5">
        <v>-1.1748281995751321E-2</v>
      </c>
      <c r="AD7" s="5">
        <v>1.4461379102178776E-2</v>
      </c>
      <c r="AE7" s="5"/>
      <c r="AF7" s="5">
        <v>1.9142811728051188E-2</v>
      </c>
      <c r="AH7" s="5">
        <v>26.263479744775836</v>
      </c>
      <c r="AI7" s="5">
        <v>-100.27230537962275</v>
      </c>
      <c r="AJ7" s="5">
        <v>-26.979704338906469</v>
      </c>
      <c r="AK7" s="5">
        <v>-42.745638033968795</v>
      </c>
      <c r="AL7" s="5">
        <v>-100.27230537962275</v>
      </c>
      <c r="AM7" s="5">
        <v>-26.979704338906469</v>
      </c>
      <c r="AN7" s="5">
        <v>-42.745638033968795</v>
      </c>
      <c r="AP7" s="5">
        <v>-3.3041369334004891</v>
      </c>
      <c r="AQ7" s="5">
        <v>-14.995020749427326</v>
      </c>
      <c r="AR7" s="5">
        <v>4.6956814997246283</v>
      </c>
      <c r="AS7" s="5">
        <v>-35.680185525981351</v>
      </c>
      <c r="AT7" s="5">
        <v>-12.765393024790354</v>
      </c>
      <c r="AU7" s="5">
        <v>1.0231596075590241</v>
      </c>
      <c r="AV7" s="5">
        <v>-7.4001122529819021</v>
      </c>
      <c r="AW7" s="5">
        <v>0.67929452522754019</v>
      </c>
      <c r="AX7" s="5">
        <v>18.418521621526367</v>
      </c>
      <c r="AY7" s="5">
        <v>3.7138825158450928</v>
      </c>
      <c r="AZ7" s="5">
        <v>9.2797759208683672</v>
      </c>
      <c r="BA7" s="5">
        <v>18.450142741078523</v>
      </c>
      <c r="BB7" s="5">
        <v>3.7547650334782507</v>
      </c>
      <c r="BC7" s="5">
        <v>2.7908681308291001</v>
      </c>
    </row>
    <row r="8" spans="2:55" x14ac:dyDescent="0.3">
      <c r="B8" s="5">
        <v>0.79271130983912497</v>
      </c>
      <c r="C8" s="5">
        <v>-1.8166293996783371</v>
      </c>
      <c r="D8" s="5">
        <v>-2.1444553658018783</v>
      </c>
      <c r="E8" s="5">
        <v>-2.0850115796352418</v>
      </c>
      <c r="F8" s="5">
        <v>0.41276604057285315</v>
      </c>
      <c r="G8" s="5">
        <v>-1.603116032643046</v>
      </c>
      <c r="H8" s="5">
        <v>-1.0698222101968411</v>
      </c>
      <c r="J8" s="5">
        <v>-20.813536017958832</v>
      </c>
      <c r="K8" s="5">
        <v>-21.352407309825402</v>
      </c>
      <c r="L8" s="5">
        <v>-16.730542750093143</v>
      </c>
      <c r="M8" s="5">
        <v>-21.796556518051435</v>
      </c>
      <c r="N8" s="5">
        <v>-21.357383038289004</v>
      </c>
      <c r="O8" s="5">
        <v>-21.859498318581313</v>
      </c>
      <c r="P8" s="5">
        <v>-7.0114187967973178</v>
      </c>
      <c r="R8" s="5">
        <v>-47.135911390653455</v>
      </c>
      <c r="S8" s="5">
        <v>-53.167055501061718</v>
      </c>
      <c r="T8" s="5">
        <v>-45.245938033706913</v>
      </c>
      <c r="U8" s="5">
        <v>-46.764829865217365</v>
      </c>
      <c r="V8" s="5">
        <v>-46.866089390483801</v>
      </c>
      <c r="W8" s="5">
        <v>-46.69685810901148</v>
      </c>
      <c r="X8" s="5">
        <v>-7.2770013506958993</v>
      </c>
      <c r="Z8" s="5">
        <v>2.1041757738283991E-2</v>
      </c>
      <c r="AA8" s="5">
        <v>6.8290392533203598E-3</v>
      </c>
      <c r="AB8" s="5">
        <v>3.2285844951770191E-2</v>
      </c>
      <c r="AC8" s="5">
        <v>3.7362093420494978E-2</v>
      </c>
      <c r="AD8" s="5">
        <v>-1.5893220059351523E-2</v>
      </c>
      <c r="AE8" s="5"/>
      <c r="AF8" s="5">
        <v>2.3726429346190236E-2</v>
      </c>
      <c r="AH8" s="5">
        <v>-84.615583156646508</v>
      </c>
      <c r="AI8" s="5">
        <v>-217.28058906304088</v>
      </c>
      <c r="AJ8" s="5">
        <v>-167.83968180015549</v>
      </c>
      <c r="AK8" s="5">
        <v>-155.34929035346721</v>
      </c>
      <c r="AL8" s="5">
        <v>-217.28058906304088</v>
      </c>
      <c r="AM8" s="5">
        <v>-167.83968180015549</v>
      </c>
      <c r="AN8" s="5">
        <v>-155.34929035346721</v>
      </c>
      <c r="AP8" s="5">
        <v>104.02419528806246</v>
      </c>
      <c r="AQ8" s="5">
        <v>84.656653171860782</v>
      </c>
      <c r="AR8" s="5">
        <v>107.23666675521299</v>
      </c>
      <c r="AS8" s="5">
        <v>33.374148224467895</v>
      </c>
      <c r="AT8" s="5">
        <v>81.82561562993439</v>
      </c>
      <c r="AU8" s="5">
        <v>111.60150620647403</v>
      </c>
      <c r="AV8" s="5">
        <v>83.396131657116314</v>
      </c>
      <c r="AW8" s="5">
        <v>108.10434252123179</v>
      </c>
      <c r="AX8" s="5">
        <v>102.10140596005439</v>
      </c>
      <c r="AY8" s="5">
        <v>110.47141658703107</v>
      </c>
      <c r="AZ8" s="5">
        <v>79.587732029453505</v>
      </c>
      <c r="BA8" s="5">
        <v>96.350259711115172</v>
      </c>
      <c r="BB8" s="5">
        <v>96.736168162731389</v>
      </c>
      <c r="BC8" s="5">
        <v>105.45482898584812</v>
      </c>
    </row>
    <row r="9" spans="2:55" x14ac:dyDescent="0.3">
      <c r="B9" s="5">
        <v>-1.6057830902892054</v>
      </c>
      <c r="C9" s="5">
        <v>0.80993725125321592</v>
      </c>
      <c r="D9" s="5">
        <v>1.4161440020003941</v>
      </c>
      <c r="E9" s="5">
        <v>1.493468159678671</v>
      </c>
      <c r="F9" s="5">
        <v>-2.1651016842835702</v>
      </c>
      <c r="G9" s="5">
        <v>1.2936609533861281</v>
      </c>
      <c r="H9" s="5">
        <v>-0.79400552561407001</v>
      </c>
      <c r="J9" s="5">
        <v>27.794795326862896</v>
      </c>
      <c r="K9" s="5">
        <v>27.751323663300283</v>
      </c>
      <c r="L9" s="5">
        <v>16.981381957859035</v>
      </c>
      <c r="M9" s="5">
        <v>26.350614248497919</v>
      </c>
      <c r="N9" s="5">
        <v>27.762539952426597</v>
      </c>
      <c r="O9" s="5">
        <v>26.85133265754321</v>
      </c>
      <c r="P9" s="5">
        <v>-15.373291819847067</v>
      </c>
      <c r="R9" s="5">
        <v>-84.390881517374083</v>
      </c>
      <c r="S9" s="5">
        <v>-84.938648556575913</v>
      </c>
      <c r="T9" s="5">
        <v>-103.42671350070418</v>
      </c>
      <c r="U9" s="5">
        <v>-98.642608859104399</v>
      </c>
      <c r="V9" s="5">
        <v>-125.54742972383789</v>
      </c>
      <c r="W9" s="5">
        <v>-94.391510170119318</v>
      </c>
      <c r="X9" s="5">
        <v>-113.46813509056821</v>
      </c>
      <c r="Z9" s="5">
        <v>-7.1621993820767949E-2</v>
      </c>
      <c r="AA9" s="5">
        <v>-6.9318187977016901E-2</v>
      </c>
      <c r="AB9" s="5">
        <v>-3.911867029262267E-2</v>
      </c>
      <c r="AC9" s="5">
        <v>-4.3658344352017604E-2</v>
      </c>
      <c r="AD9" s="5">
        <v>-3.801881776252166E-2</v>
      </c>
      <c r="AE9" s="5"/>
      <c r="AF9" s="5">
        <v>-6.8966933404581723E-2</v>
      </c>
      <c r="AH9" s="5">
        <v>-76.934916809240534</v>
      </c>
      <c r="AI9" s="5">
        <v>-232.13477058375378</v>
      </c>
      <c r="AJ9" s="5">
        <v>-220.4262171136798</v>
      </c>
      <c r="AK9" s="5">
        <v>-257.19894884417096</v>
      </c>
      <c r="AL9" s="5">
        <v>-232.13477058375378</v>
      </c>
      <c r="AM9" s="5">
        <v>-220.4262171136798</v>
      </c>
      <c r="AN9" s="5">
        <v>-257.19894884417096</v>
      </c>
      <c r="AP9" s="5">
        <v>76.224191354415694</v>
      </c>
      <c r="AQ9" s="5">
        <v>57.226359685698931</v>
      </c>
      <c r="AR9" s="5">
        <v>23.658908373233658</v>
      </c>
      <c r="AS9" s="5">
        <v>52.850853306894251</v>
      </c>
      <c r="AT9" s="5">
        <v>56.101932804980947</v>
      </c>
      <c r="AU9" s="5">
        <v>71.578697096427518</v>
      </c>
      <c r="AV9" s="5">
        <v>49.428478059243744</v>
      </c>
      <c r="AW9" s="5">
        <v>19.006639895851734</v>
      </c>
      <c r="AX9" s="5">
        <v>-41.286895131091043</v>
      </c>
      <c r="AY9" s="5">
        <v>-30.865152237336503</v>
      </c>
      <c r="AZ9" s="5">
        <v>-20.466177666390202</v>
      </c>
      <c r="BA9" s="5">
        <v>-10.334701859630918</v>
      </c>
      <c r="BB9" s="5">
        <v>20.417446005990755</v>
      </c>
      <c r="BC9" s="5">
        <v>-16.450704805535004</v>
      </c>
    </row>
    <row r="10" spans="2:55" x14ac:dyDescent="0.3">
      <c r="B10" s="5">
        <v>-0.66281952886113682</v>
      </c>
      <c r="C10" s="5">
        <v>-2.4927253358293679</v>
      </c>
      <c r="D10" s="5">
        <v>-3.0150683040522894</v>
      </c>
      <c r="E10" s="5">
        <v>-3.1690490358293442</v>
      </c>
      <c r="F10" s="5">
        <v>-1.2823992411822538</v>
      </c>
      <c r="G10" s="5">
        <v>-3.4582137500363097</v>
      </c>
      <c r="H10" s="5">
        <v>-2.2685764942535105</v>
      </c>
      <c r="J10" s="5">
        <v>-11.559509627253131</v>
      </c>
      <c r="K10" s="5">
        <v>-10.916336913626113</v>
      </c>
      <c r="L10" s="5">
        <v>-1.3504307853593289</v>
      </c>
      <c r="M10" s="5">
        <v>-11.312029483699568</v>
      </c>
      <c r="N10" s="5">
        <v>-10.891693884920164</v>
      </c>
      <c r="O10" s="5">
        <v>-10.452841261484615</v>
      </c>
      <c r="P10" s="5">
        <v>0.84902471590057083</v>
      </c>
      <c r="R10" s="5">
        <v>20.69173120871881</v>
      </c>
      <c r="S10" s="5">
        <v>23.064389649563303</v>
      </c>
      <c r="T10" s="5">
        <v>28.061101047786323</v>
      </c>
      <c r="U10" s="5">
        <v>7.6781266628290439</v>
      </c>
      <c r="V10" s="5">
        <v>-1.1082141983717477</v>
      </c>
      <c r="W10" s="5">
        <v>4.8082369969222949</v>
      </c>
      <c r="X10" s="5">
        <v>-15.751766503613077</v>
      </c>
      <c r="Z10" s="5">
        <v>1.7170889887255389E-2</v>
      </c>
      <c r="AA10" s="5">
        <v>4.1395193983014306E-2</v>
      </c>
      <c r="AB10" s="5">
        <v>6.1863979945587941E-2</v>
      </c>
      <c r="AC10" s="5">
        <v>2.4046492920929287E-2</v>
      </c>
      <c r="AD10" s="5">
        <v>1.528179860001579E-2</v>
      </c>
      <c r="AE10" s="5"/>
      <c r="AF10" s="5">
        <v>4.5479016252798675E-2</v>
      </c>
      <c r="AH10" s="5">
        <v>192.3429049766423</v>
      </c>
      <c r="AI10" s="5">
        <v>14.897194229245855</v>
      </c>
      <c r="AJ10" s="5">
        <v>1.372132084035933</v>
      </c>
      <c r="AK10" s="5">
        <v>-50.394212388011184</v>
      </c>
      <c r="AL10" s="5">
        <v>14.897194229245855</v>
      </c>
      <c r="AM10" s="5">
        <v>1.372132084035933</v>
      </c>
      <c r="AN10" s="5">
        <v>-50.394212388011184</v>
      </c>
      <c r="AP10" s="5">
        <v>19.590979164913165</v>
      </c>
      <c r="AQ10" s="5">
        <v>28.043001275879696</v>
      </c>
      <c r="AR10" s="5">
        <v>-43.491097848404536</v>
      </c>
      <c r="AS10" s="5">
        <v>3.6456795450235973</v>
      </c>
      <c r="AT10" s="5">
        <v>24.863671066801572</v>
      </c>
      <c r="AU10" s="5">
        <v>13.400159566355459</v>
      </c>
      <c r="AV10" s="5">
        <v>-21.729477807280137</v>
      </c>
      <c r="AW10" s="5">
        <v>-68.227441641217183</v>
      </c>
      <c r="AX10" s="5">
        <v>-99.848186086564183</v>
      </c>
      <c r="AY10" s="5">
        <v>-109.00954488183946</v>
      </c>
      <c r="AZ10" s="5">
        <v>-91.762718197106423</v>
      </c>
      <c r="BA10" s="5">
        <v>-53.455648211074262</v>
      </c>
      <c r="BB10" s="5">
        <v>-34.343286019178052</v>
      </c>
      <c r="BC10" s="5">
        <v>-68.108920080322463</v>
      </c>
    </row>
    <row r="11" spans="2:55" x14ac:dyDescent="0.3">
      <c r="B11" s="5">
        <v>-1.4724929845883474</v>
      </c>
      <c r="C11" s="5">
        <v>1.4212763801747963E-2</v>
      </c>
      <c r="D11" s="5">
        <v>8.9909798369030458E-2</v>
      </c>
      <c r="E11" s="5">
        <v>0.22951566489392228</v>
      </c>
      <c r="F11" s="5">
        <v>-2.2668275994146052</v>
      </c>
      <c r="G11" s="5">
        <v>0.80889471134852609</v>
      </c>
      <c r="H11" s="5">
        <v>-3.0188268528720901</v>
      </c>
      <c r="J11" s="5">
        <v>-50.403908835116511</v>
      </c>
      <c r="K11" s="5">
        <v>-51.344361709869546</v>
      </c>
      <c r="L11" s="5">
        <v>-56.836049770253815</v>
      </c>
      <c r="M11" s="5">
        <v>-50.054882549241611</v>
      </c>
      <c r="N11" s="5">
        <v>-51.395388135763362</v>
      </c>
      <c r="O11" s="5">
        <v>-51.046091456142705</v>
      </c>
      <c r="P11" s="5">
        <v>-69.679342741096804</v>
      </c>
      <c r="R11" s="5">
        <v>-2.0007624337011078</v>
      </c>
      <c r="S11" s="5">
        <v>2.3619905150767684</v>
      </c>
      <c r="T11" s="5">
        <v>5.1930551348107921</v>
      </c>
      <c r="U11" s="5">
        <v>19.995103877370674</v>
      </c>
      <c r="V11" s="5">
        <v>75.127120369561595</v>
      </c>
      <c r="W11" s="5">
        <v>-30.810328367076579</v>
      </c>
      <c r="X11" s="5">
        <v>29.768620511681949</v>
      </c>
      <c r="Z11" s="5">
        <v>4.0160565386585939E-2</v>
      </c>
      <c r="AA11" s="5">
        <v>3.0183508404475708E-2</v>
      </c>
      <c r="AB11" s="5">
        <v>9.444500220941246E-3</v>
      </c>
      <c r="AC11" s="5">
        <v>2.4658331049945546E-2</v>
      </c>
      <c r="AD11" s="5">
        <v>2.6180949180119005E-2</v>
      </c>
      <c r="AE11" s="5"/>
      <c r="AF11" s="5">
        <v>1.7161216703199263E-2</v>
      </c>
      <c r="AH11" s="5">
        <v>66.289147618766776</v>
      </c>
      <c r="AI11" s="5">
        <v>-80.773516244270311</v>
      </c>
      <c r="AJ11" s="5">
        <v>-101.20101844945299</v>
      </c>
      <c r="AK11" s="5">
        <v>-125.04691141250476</v>
      </c>
      <c r="AL11" s="5">
        <v>-80.773516244270311</v>
      </c>
      <c r="AM11" s="5">
        <v>-101.20101844945299</v>
      </c>
      <c r="AN11" s="5">
        <v>-125.04691141250476</v>
      </c>
      <c r="AP11" s="5">
        <v>-44.98038532039763</v>
      </c>
      <c r="AQ11" s="5">
        <v>-28.859340169846462</v>
      </c>
      <c r="AR11" s="5">
        <v>-113.00526645066915</v>
      </c>
      <c r="AS11" s="5">
        <v>-34.517780068861335</v>
      </c>
      <c r="AT11" s="5">
        <v>-35.962166225719422</v>
      </c>
      <c r="AU11" s="5">
        <v>-46.93113001105479</v>
      </c>
      <c r="AV11" s="5">
        <v>-59.510056588574535</v>
      </c>
      <c r="AW11" s="5">
        <v>-110.32922965333094</v>
      </c>
      <c r="AX11" s="5">
        <v>-84.930536578676737</v>
      </c>
      <c r="AY11" s="5">
        <v>-106.67081366338496</v>
      </c>
      <c r="AZ11" s="5">
        <v>-66.069594387414028</v>
      </c>
      <c r="BA11" s="5">
        <v>-96.479246782234682</v>
      </c>
      <c r="BB11" s="5">
        <v>-78.207436846124324</v>
      </c>
      <c r="BC11" s="5">
        <v>-78.180638522336551</v>
      </c>
    </row>
    <row r="12" spans="2:55" x14ac:dyDescent="0.3">
      <c r="B12" s="5">
        <v>2.6633229745313205</v>
      </c>
      <c r="C12" s="5">
        <v>1.8198259863578061</v>
      </c>
      <c r="D12" s="5">
        <v>1.64182170905197</v>
      </c>
      <c r="E12" s="5">
        <v>1.6776014333087625</v>
      </c>
      <c r="F12" s="5">
        <v>1.7230300836157362</v>
      </c>
      <c r="G12" s="5">
        <v>1.3417679293599116</v>
      </c>
      <c r="H12" s="5">
        <v>0.95127985675401849</v>
      </c>
      <c r="J12" s="5">
        <v>7.3815517593574853</v>
      </c>
      <c r="K12" s="5">
        <v>8.4633309695950132</v>
      </c>
      <c r="L12" s="5">
        <v>9.3917679525128648</v>
      </c>
      <c r="M12" s="5">
        <v>6.9860746930565014</v>
      </c>
      <c r="N12" s="5">
        <v>8.5299163840540508</v>
      </c>
      <c r="O12" s="5">
        <v>7.652127861455484</v>
      </c>
      <c r="P12" s="5">
        <v>-7.3027016946328223</v>
      </c>
      <c r="R12" s="5">
        <v>-57.739954502683418</v>
      </c>
      <c r="S12" s="5">
        <v>-57.936073163808757</v>
      </c>
      <c r="T12" s="5">
        <v>-47.647136109499186</v>
      </c>
      <c r="U12" s="5">
        <v>-47.81892943734298</v>
      </c>
      <c r="V12" s="5">
        <v>24.689669786152706</v>
      </c>
      <c r="W12" s="5">
        <v>-85.001148007323209</v>
      </c>
      <c r="X12" s="5">
        <v>14.761616489978721</v>
      </c>
      <c r="Z12" s="5">
        <v>-5.797495347098091E-2</v>
      </c>
      <c r="AA12" s="5">
        <v>-4.927099721803288E-2</v>
      </c>
      <c r="AB12" s="5">
        <v>-2.5774142142425155E-2</v>
      </c>
      <c r="AC12" s="5">
        <v>-2.4774357368355281E-2</v>
      </c>
      <c r="AD12" s="5">
        <v>-5.5131498765430942E-2</v>
      </c>
      <c r="AE12" s="5"/>
      <c r="AF12" s="5">
        <v>-4.1665524651360482E-2</v>
      </c>
      <c r="AH12" s="5">
        <v>-77.021854667012832</v>
      </c>
      <c r="AI12" s="5">
        <v>-182.04050252480263</v>
      </c>
      <c r="AJ12" s="5">
        <v>-251.88257580486484</v>
      </c>
      <c r="AK12" s="5">
        <v>-277.34577405468542</v>
      </c>
      <c r="AL12" s="5">
        <v>-182.04050252480263</v>
      </c>
      <c r="AM12" s="5">
        <v>-251.88257580486484</v>
      </c>
      <c r="AN12" s="5">
        <v>-277.34577405468542</v>
      </c>
      <c r="AP12" s="5">
        <v>-35.807456406580812</v>
      </c>
      <c r="AQ12" s="5">
        <v>-27.751876221427246</v>
      </c>
      <c r="AR12" s="5">
        <v>-29.634092277310614</v>
      </c>
      <c r="AS12" s="5">
        <v>8.7898728446670802</v>
      </c>
      <c r="AT12" s="5">
        <v>-29.034326508962053</v>
      </c>
      <c r="AU12" s="5">
        <v>-38.01685950245102</v>
      </c>
      <c r="AV12" s="5">
        <v>-4.8484092949208488</v>
      </c>
      <c r="AW12" s="5">
        <v>-46.916065114972227</v>
      </c>
      <c r="AX12" s="5">
        <v>69.02092657449468</v>
      </c>
      <c r="AY12" s="5">
        <v>47.613342766974348</v>
      </c>
      <c r="AZ12" s="5">
        <v>-18.174852638720054</v>
      </c>
      <c r="BA12" s="5">
        <v>-9.2087714645565555</v>
      </c>
      <c r="BB12" s="5">
        <v>-27.32310930501815</v>
      </c>
      <c r="BC12" s="5">
        <v>21.964087719227802</v>
      </c>
    </row>
    <row r="13" spans="2:55" x14ac:dyDescent="0.3">
      <c r="B13" s="5">
        <v>2.2789193527675424</v>
      </c>
      <c r="C13" s="5">
        <v>3.1830905535442926</v>
      </c>
      <c r="D13" s="5">
        <v>2.7203043057455991</v>
      </c>
      <c r="E13" s="5">
        <v>2.7230270349927084</v>
      </c>
      <c r="F13" s="5">
        <v>1.5733965212228154</v>
      </c>
      <c r="G13" s="5">
        <v>2.4094119522780666</v>
      </c>
      <c r="H13" s="5">
        <v>0.10756936124173919</v>
      </c>
      <c r="J13" s="5">
        <v>13.4973339557743</v>
      </c>
      <c r="K13" s="5">
        <v>13.378892938721714</v>
      </c>
      <c r="L13" s="5">
        <v>14.054078694212411</v>
      </c>
      <c r="M13" s="5">
        <v>14.976945625279926</v>
      </c>
      <c r="N13" s="5">
        <v>13.343101662602939</v>
      </c>
      <c r="O13" s="5">
        <v>14.703459746469159</v>
      </c>
      <c r="P13" s="5">
        <v>-22.856150423007314</v>
      </c>
      <c r="R13" s="5">
        <v>47.502819690765072</v>
      </c>
      <c r="S13" s="5">
        <v>48.199528771722704</v>
      </c>
      <c r="T13" s="5">
        <v>41.510104455791492</v>
      </c>
      <c r="U13" s="5">
        <v>49.949361179901906</v>
      </c>
      <c r="V13" s="5">
        <v>28.123283727186873</v>
      </c>
      <c r="W13" s="5">
        <v>8.5217601261599594</v>
      </c>
      <c r="X13" s="5">
        <v>35.76238718763539</v>
      </c>
      <c r="Z13" s="5">
        <v>-5.1484280453532802E-3</v>
      </c>
      <c r="AA13" s="5">
        <v>2.413661328437243E-2</v>
      </c>
      <c r="AB13" s="5">
        <v>6.0639188131142718E-3</v>
      </c>
      <c r="AC13" s="5">
        <v>5.7285328722937699E-3</v>
      </c>
      <c r="AD13" s="5">
        <v>2.6981903532071513E-2</v>
      </c>
      <c r="AE13" s="5"/>
      <c r="AF13" s="5">
        <v>5.8127363518212447E-3</v>
      </c>
      <c r="AH13" s="5">
        <v>206.29609058240914</v>
      </c>
      <c r="AI13" s="5">
        <v>96.448597109137836</v>
      </c>
      <c r="AJ13" s="5">
        <v>3.7075407237876714</v>
      </c>
      <c r="AK13" s="5">
        <v>-78.306564746860687</v>
      </c>
      <c r="AL13" s="5">
        <v>96.448597109137836</v>
      </c>
      <c r="AM13" s="5">
        <v>3.7075407237876714</v>
      </c>
      <c r="AN13" s="5">
        <v>-78.306564746860687</v>
      </c>
      <c r="AP13" s="5">
        <v>-15.128377279144726</v>
      </c>
      <c r="AQ13" s="5">
        <v>-25.938769855508568</v>
      </c>
      <c r="AR13" s="5">
        <v>-10.824786234455413</v>
      </c>
      <c r="AS13" s="5">
        <v>-1.3132270452485884E-2</v>
      </c>
      <c r="AT13" s="5">
        <v>-22.713395933319326</v>
      </c>
      <c r="AU13" s="5">
        <v>-17.624236347035577</v>
      </c>
      <c r="AV13" s="5">
        <v>3.0405236363029857</v>
      </c>
      <c r="AW13" s="5">
        <v>3.5291964691881219</v>
      </c>
      <c r="AX13" s="5">
        <v>35.747879728087057</v>
      </c>
      <c r="AY13" s="5">
        <v>54.290290713569867</v>
      </c>
      <c r="AZ13" s="5">
        <v>5.3292959160426712</v>
      </c>
      <c r="BA13" s="5">
        <v>-7.9683826179241635</v>
      </c>
      <c r="BB13" s="5">
        <v>-3.4253029149813012</v>
      </c>
      <c r="BC13" s="5">
        <v>6.507507227431919</v>
      </c>
    </row>
    <row r="14" spans="2:55" x14ac:dyDescent="0.3">
      <c r="B14" s="5">
        <v>2.6454586976663075</v>
      </c>
      <c r="C14" s="5">
        <v>1.2778515274164044</v>
      </c>
      <c r="D14" s="5">
        <v>1.1317457257963497</v>
      </c>
      <c r="E14" s="5">
        <v>1.2574437162468064</v>
      </c>
      <c r="F14" s="5">
        <v>2.4148319500280775</v>
      </c>
      <c r="G14" s="5">
        <v>1.9660280561296568</v>
      </c>
      <c r="H14" s="5">
        <v>-0.16025595417592564</v>
      </c>
      <c r="J14" s="5">
        <v>56.94819830075253</v>
      </c>
      <c r="K14" s="5">
        <v>57.147096499738971</v>
      </c>
      <c r="L14" s="5">
        <v>61.14238294223864</v>
      </c>
      <c r="M14" s="5">
        <v>57.810634889638386</v>
      </c>
      <c r="N14" s="5">
        <v>57.156379733879284</v>
      </c>
      <c r="O14" s="5">
        <v>57.166491776939928</v>
      </c>
      <c r="P14" s="5">
        <v>43.541129577212267</v>
      </c>
      <c r="R14" s="5">
        <v>136.91501270917121</v>
      </c>
      <c r="S14" s="5">
        <v>139.06918188145642</v>
      </c>
      <c r="T14" s="5">
        <v>141.5723209054847</v>
      </c>
      <c r="U14" s="5">
        <v>132.59801210322678</v>
      </c>
      <c r="V14" s="5">
        <v>93.062306418990943</v>
      </c>
      <c r="W14" s="5">
        <v>97.093170722510848</v>
      </c>
      <c r="X14" s="5">
        <v>98.651153230398691</v>
      </c>
      <c r="Z14" s="5">
        <v>4.5962780417646697E-2</v>
      </c>
      <c r="AA14" s="5">
        <v>4.2101672110923041E-2</v>
      </c>
      <c r="AB14" s="5">
        <v>3.4971830081703376E-2</v>
      </c>
      <c r="AC14" s="5">
        <v>3.5932431241108419E-2</v>
      </c>
      <c r="AD14" s="5">
        <v>3.3076879892918118E-3</v>
      </c>
      <c r="AE14" s="5"/>
      <c r="AF14" s="5">
        <v>4.72977438567833E-2</v>
      </c>
      <c r="AH14" s="5">
        <v>337.51010315591134</v>
      </c>
      <c r="AI14" s="5">
        <v>255.19315995216763</v>
      </c>
      <c r="AJ14" s="5">
        <v>171.41996150015876</v>
      </c>
      <c r="AK14" s="5">
        <v>137.99187354520137</v>
      </c>
      <c r="AL14" s="5">
        <v>255.19315995216763</v>
      </c>
      <c r="AM14" s="5">
        <v>171.41996150015876</v>
      </c>
      <c r="AN14" s="5">
        <v>137.99187354520137</v>
      </c>
      <c r="AP14" s="5">
        <v>37.887168171972235</v>
      </c>
      <c r="AQ14" s="5">
        <v>20.751227193040584</v>
      </c>
      <c r="AR14" s="5">
        <v>75.440979961868052</v>
      </c>
      <c r="AS14" s="5">
        <v>0.60806267641134504</v>
      </c>
      <c r="AT14" s="5">
        <v>27.709803413128984</v>
      </c>
      <c r="AU14" s="5">
        <v>35.282019334959926</v>
      </c>
      <c r="AV14" s="5">
        <v>31.144657504868086</v>
      </c>
      <c r="AW14" s="5">
        <v>56.286032041374348</v>
      </c>
      <c r="AX14" s="5">
        <v>105.97912847662752</v>
      </c>
      <c r="AY14" s="5">
        <v>98.467492631182623</v>
      </c>
      <c r="AZ14" s="5">
        <v>100.77300133142639</v>
      </c>
      <c r="BA14" s="5">
        <v>68.079740664623799</v>
      </c>
      <c r="BB14" s="5">
        <v>48.525949577888426</v>
      </c>
      <c r="BC14" s="5">
        <v>51.752804739792225</v>
      </c>
    </row>
    <row r="15" spans="2:55" x14ac:dyDescent="0.3">
      <c r="B15" s="5">
        <v>1.4217068727691704</v>
      </c>
      <c r="C15" s="5">
        <v>1.6078855972739823</v>
      </c>
      <c r="D15" s="5">
        <v>1.97053854340996</v>
      </c>
      <c r="E15" s="5">
        <v>2.0354319650439203</v>
      </c>
      <c r="F15" s="5">
        <v>1.5780548000204404</v>
      </c>
      <c r="G15" s="5">
        <v>1.4917689208329559</v>
      </c>
      <c r="H15" s="5">
        <v>0.71914253825301599</v>
      </c>
      <c r="J15" s="5">
        <v>30.845145594310804</v>
      </c>
      <c r="K15" s="5">
        <v>30.085037792665215</v>
      </c>
      <c r="L15" s="5">
        <v>28.137685155253905</v>
      </c>
      <c r="M15" s="5">
        <v>30.44697692004268</v>
      </c>
      <c r="N15" s="5">
        <v>30.05162647723791</v>
      </c>
      <c r="O15" s="5">
        <v>30.043100456551851</v>
      </c>
      <c r="P15" s="5">
        <v>-4.3639504545353178</v>
      </c>
      <c r="R15" s="5">
        <v>37.03093430477896</v>
      </c>
      <c r="S15" s="5">
        <v>33.494124227406445</v>
      </c>
      <c r="T15" s="5">
        <v>41.87264480717711</v>
      </c>
      <c r="U15" s="5">
        <v>50.164163748649969</v>
      </c>
      <c r="V15" s="5">
        <v>20.872491078185078</v>
      </c>
      <c r="W15" s="5">
        <v>17.036219233483322</v>
      </c>
      <c r="X15" s="5">
        <v>41.364702996345727</v>
      </c>
      <c r="Z15" s="5">
        <v>-5.2403341402127643E-3</v>
      </c>
      <c r="AA15" s="5">
        <v>-4.6920306776728413E-3</v>
      </c>
      <c r="AB15" s="5">
        <v>-5.3655400787478401E-3</v>
      </c>
      <c r="AC15" s="5">
        <v>2.4502180502539501E-2</v>
      </c>
      <c r="AD15" s="5">
        <v>2.4097872261196696E-2</v>
      </c>
      <c r="AE15" s="5"/>
      <c r="AF15" s="5">
        <v>-1.0629379483210074E-2</v>
      </c>
      <c r="AH15" s="5">
        <v>186.83914720984745</v>
      </c>
      <c r="AI15" s="5">
        <v>210.85931599892098</v>
      </c>
      <c r="AJ15" s="5">
        <v>122.27848972144687</v>
      </c>
      <c r="AK15" s="5">
        <v>122.80770646717488</v>
      </c>
      <c r="AL15" s="5">
        <v>210.85931599892098</v>
      </c>
      <c r="AM15" s="5">
        <v>122.27848972144687</v>
      </c>
      <c r="AN15" s="5">
        <v>122.80770646717488</v>
      </c>
      <c r="AP15" s="5">
        <v>22.946082508181139</v>
      </c>
      <c r="AQ15" s="5">
        <v>7.2383668536115717</v>
      </c>
      <c r="AR15" s="5">
        <v>-3.7309518411104676</v>
      </c>
      <c r="AS15" s="5">
        <v>-44.925183997496305</v>
      </c>
      <c r="AT15" s="5">
        <v>11.669316436111659</v>
      </c>
      <c r="AU15" s="5">
        <v>19.800668574072837</v>
      </c>
      <c r="AV15" s="5">
        <v>-4.6884694963969018</v>
      </c>
      <c r="AW15" s="5">
        <v>9.1758939414870966</v>
      </c>
      <c r="AX15" s="5">
        <v>-75.226056300762437</v>
      </c>
      <c r="AY15" s="5">
        <v>-40.541822765725513</v>
      </c>
      <c r="AZ15" s="5">
        <v>9.3551834713814515</v>
      </c>
      <c r="BA15" s="5">
        <v>-29.533055708680727</v>
      </c>
      <c r="BB15" s="5">
        <v>1.9818135620965616</v>
      </c>
      <c r="BC15" s="5">
        <v>-33.71346250042194</v>
      </c>
    </row>
    <row r="16" spans="2:55" x14ac:dyDescent="0.3">
      <c r="B16" s="5">
        <v>1.9813841213566366</v>
      </c>
      <c r="C16" s="5">
        <v>1.1101907469967505</v>
      </c>
      <c r="D16" s="5">
        <v>1.5349583196204917</v>
      </c>
      <c r="E16" s="5">
        <v>1.4115904306864338</v>
      </c>
      <c r="F16" s="5">
        <v>2.390337108186031</v>
      </c>
      <c r="G16" s="5">
        <v>1.752644684530335</v>
      </c>
      <c r="H16" s="5">
        <v>1.4983442022697575</v>
      </c>
      <c r="J16" s="5">
        <v>31.38381177317704</v>
      </c>
      <c r="K16" s="5">
        <v>31.146785627243734</v>
      </c>
      <c r="L16" s="5">
        <v>32.312569796123327</v>
      </c>
      <c r="M16" s="5">
        <v>29.72923833089774</v>
      </c>
      <c r="N16" s="5">
        <v>31.160467957295936</v>
      </c>
      <c r="O16" s="5">
        <v>30.171630742289999</v>
      </c>
      <c r="P16" s="5">
        <v>24.488957038436606</v>
      </c>
      <c r="R16" s="5">
        <v>31.44955023426953</v>
      </c>
      <c r="S16" s="5">
        <v>23.328902766241654</v>
      </c>
      <c r="T16" s="5">
        <v>16.623437638472218</v>
      </c>
      <c r="U16" s="5">
        <v>20.134605221339214</v>
      </c>
      <c r="V16" s="5">
        <v>-34.031934338107341</v>
      </c>
      <c r="W16" s="5">
        <v>30.901970987048575</v>
      </c>
      <c r="X16" s="5">
        <v>13.430228563288859</v>
      </c>
      <c r="Z16" s="5">
        <v>4.9951472498609518E-2</v>
      </c>
      <c r="AA16" s="5">
        <v>7.2920471203974102E-2</v>
      </c>
      <c r="AB16" s="5">
        <v>6.3573083499444724E-2</v>
      </c>
      <c r="AC16" s="5">
        <v>7.3834032974669256E-2</v>
      </c>
      <c r="AD16" s="5">
        <v>2.6492879689106619E-2</v>
      </c>
      <c r="AE16" s="5"/>
      <c r="AF16" s="5">
        <v>6.5056747134700207E-2</v>
      </c>
      <c r="AH16" s="5">
        <v>186.42385861772223</v>
      </c>
      <c r="AI16" s="5">
        <v>294.87418747523793</v>
      </c>
      <c r="AJ16" s="5">
        <v>226.6428444784631</v>
      </c>
      <c r="AK16" s="5">
        <v>215.24355563835277</v>
      </c>
      <c r="AL16" s="5">
        <v>294.87418747523793</v>
      </c>
      <c r="AM16" s="5">
        <v>226.6428444784631</v>
      </c>
      <c r="AN16" s="5">
        <v>215.24355563835277</v>
      </c>
      <c r="AP16" s="5">
        <v>5.4177647868235965</v>
      </c>
      <c r="AQ16" s="5">
        <v>4.0561074985563907</v>
      </c>
      <c r="AR16" s="5">
        <v>6.056727703830779</v>
      </c>
      <c r="AS16" s="5">
        <v>-50.812717140171166</v>
      </c>
      <c r="AT16" s="5">
        <v>6.4790722540411068</v>
      </c>
      <c r="AU16" s="5">
        <v>3.9449910328531375</v>
      </c>
      <c r="AV16" s="5">
        <v>-2.9171597234637172</v>
      </c>
      <c r="AW16" s="5">
        <v>-23.723068817134667</v>
      </c>
      <c r="AX16" s="5">
        <v>16.933350751298107</v>
      </c>
      <c r="AY16" s="5">
        <v>-25.031284271108881</v>
      </c>
      <c r="AZ16" s="5">
        <v>9.5788203139048917</v>
      </c>
      <c r="BA16" s="5">
        <v>4.8237035066395606</v>
      </c>
      <c r="BB16" s="5">
        <v>-10.17557948173773</v>
      </c>
      <c r="BC16" s="5">
        <v>-8.5245280333115598</v>
      </c>
    </row>
    <row r="17" spans="1:55" x14ac:dyDescent="0.3">
      <c r="B17" s="5">
        <v>2.3743611928885873</v>
      </c>
      <c r="C17" s="5">
        <v>2.527615338018899</v>
      </c>
      <c r="D17" s="5">
        <v>2.8170260992383231</v>
      </c>
      <c r="E17" s="5">
        <v>2.6518428503684004</v>
      </c>
      <c r="F17" s="5">
        <v>2.9833500619746842</v>
      </c>
      <c r="G17" s="5">
        <v>2.4672247871183206</v>
      </c>
      <c r="H17" s="5">
        <v>2.1446529479085887</v>
      </c>
      <c r="J17" s="5">
        <v>130.87792559118509</v>
      </c>
      <c r="K17" s="5">
        <v>130.18899967516924</v>
      </c>
      <c r="L17" s="5">
        <v>125.77845450699122</v>
      </c>
      <c r="M17" s="5">
        <v>129.08039988050621</v>
      </c>
      <c r="N17" s="5">
        <v>130.17139200178934</v>
      </c>
      <c r="O17" s="5">
        <v>129.59954873242441</v>
      </c>
      <c r="P17" s="5">
        <v>109.13153377703588</v>
      </c>
      <c r="R17" s="5">
        <v>113.83860392312027</v>
      </c>
      <c r="S17" s="5">
        <v>109.32558869836338</v>
      </c>
      <c r="T17" s="5">
        <v>94.779669139153043</v>
      </c>
      <c r="U17" s="5">
        <v>82.923140000918721</v>
      </c>
      <c r="V17" s="5">
        <v>37.236053231659596</v>
      </c>
      <c r="W17" s="5">
        <v>125.1999191140076</v>
      </c>
      <c r="X17" s="5">
        <v>78.537824350084804</v>
      </c>
      <c r="Z17" s="5">
        <v>-7.0211849694581968E-2</v>
      </c>
      <c r="AA17" s="5">
        <v>-6.4190987646824571E-2</v>
      </c>
      <c r="AB17" s="5">
        <v>-0.1218468288762531</v>
      </c>
      <c r="AC17" s="5">
        <v>-5.784988495219312E-2</v>
      </c>
      <c r="AD17" s="5">
        <v>-6.2476536480204549E-2</v>
      </c>
      <c r="AE17" s="5"/>
      <c r="AF17" s="5">
        <v>-8.5919644325654909E-2</v>
      </c>
      <c r="AH17" s="5">
        <v>-215.32520819751954</v>
      </c>
      <c r="AI17" s="5">
        <v>-58.46755485804492</v>
      </c>
      <c r="AJ17" s="5">
        <v>-66.687092083944208</v>
      </c>
      <c r="AK17" s="5">
        <v>-42.776302301128894</v>
      </c>
      <c r="AL17" s="5">
        <v>-58.46755485804492</v>
      </c>
      <c r="AM17" s="5">
        <v>-66.687092083944208</v>
      </c>
      <c r="AN17" s="5">
        <v>-42.776302301128894</v>
      </c>
      <c r="AP17" s="5">
        <v>54.388409890413307</v>
      </c>
      <c r="AQ17" s="5">
        <v>56.922563809737937</v>
      </c>
      <c r="AR17" s="5">
        <v>15.379334116492846</v>
      </c>
      <c r="AS17" s="5">
        <v>28.635468791167035</v>
      </c>
      <c r="AT17" s="5">
        <v>55.556573367769687</v>
      </c>
      <c r="AU17" s="5">
        <v>56.267531628859963</v>
      </c>
      <c r="AV17" s="5">
        <v>49.887474825836435</v>
      </c>
      <c r="AW17" s="5">
        <v>30.824163868441321</v>
      </c>
      <c r="AX17" s="5">
        <v>-25.30524954672288</v>
      </c>
      <c r="AY17" s="5">
        <v>6.8369816942732236</v>
      </c>
      <c r="AZ17" s="5">
        <v>23.780796375470086</v>
      </c>
      <c r="BA17" s="5">
        <v>6.9042598140534679</v>
      </c>
      <c r="BB17" s="5">
        <v>38.993130478291874</v>
      </c>
      <c r="BC17" s="5">
        <v>29.338216887416028</v>
      </c>
    </row>
    <row r="18" spans="1:55" x14ac:dyDescent="0.3">
      <c r="B18" s="5">
        <v>-2.849068663309243</v>
      </c>
      <c r="C18" s="5">
        <v>-3.4797404970253067</v>
      </c>
      <c r="D18" s="5">
        <v>-3.2655957584039275</v>
      </c>
      <c r="E18" s="5">
        <v>-3.4054446585557607</v>
      </c>
      <c r="F18" s="5">
        <v>-1.9545753667501014</v>
      </c>
      <c r="G18" s="5">
        <v>-3.2887362683182646</v>
      </c>
      <c r="H18" s="5">
        <v>-2.232666254348953</v>
      </c>
      <c r="J18" s="5">
        <v>-56.535127913011095</v>
      </c>
      <c r="K18" s="5">
        <v>-56.961521249344955</v>
      </c>
      <c r="L18" s="5">
        <v>-53.112042673881732</v>
      </c>
      <c r="M18" s="5">
        <v>-58.48055324622571</v>
      </c>
      <c r="N18" s="5">
        <v>-56.961814629249723</v>
      </c>
      <c r="O18" s="5">
        <v>-57.643740246752664</v>
      </c>
      <c r="P18" s="5">
        <v>-26.190637810070836</v>
      </c>
      <c r="R18" s="5">
        <v>-67.471661796137525</v>
      </c>
      <c r="S18" s="5">
        <v>-72.009779056885719</v>
      </c>
      <c r="T18" s="5">
        <v>-71.124060611627925</v>
      </c>
      <c r="U18" s="5">
        <v>-80.944293581439766</v>
      </c>
      <c r="V18" s="5">
        <v>-70.2582157602629</v>
      </c>
      <c r="W18" s="5">
        <v>-30.876272162897983</v>
      </c>
      <c r="X18" s="5">
        <v>-26.651225571998971</v>
      </c>
      <c r="Z18" s="5">
        <v>-1.6097345744802628E-2</v>
      </c>
      <c r="AA18" s="5">
        <v>1.4378251912229932E-2</v>
      </c>
      <c r="AB18" s="5">
        <v>4.8733494987316106E-2</v>
      </c>
      <c r="AC18" s="5">
        <v>3.0018155149300618E-2</v>
      </c>
      <c r="AD18" s="5">
        <v>1.4577619437507659E-2</v>
      </c>
      <c r="AE18" s="5"/>
      <c r="AF18" s="5">
        <v>4.7167846944755898E-2</v>
      </c>
      <c r="AH18" s="5">
        <v>95.763344941965741</v>
      </c>
      <c r="AI18" s="5">
        <v>186.93397703819991</v>
      </c>
      <c r="AJ18" s="5">
        <v>165.11229583335742</v>
      </c>
      <c r="AK18" s="5">
        <v>191.43227077634506</v>
      </c>
      <c r="AL18" s="5">
        <v>186.93397703819991</v>
      </c>
      <c r="AM18" s="5">
        <v>165.11229583335742</v>
      </c>
      <c r="AN18" s="5">
        <v>191.43227077634506</v>
      </c>
      <c r="AP18" s="5">
        <v>-64.3617755831973</v>
      </c>
      <c r="AQ18" s="5">
        <v>-64.335914319898322</v>
      </c>
      <c r="AR18" s="5">
        <v>-86.927086790327564</v>
      </c>
      <c r="AS18" s="5">
        <v>-43.462740560234423</v>
      </c>
      <c r="AT18" s="5">
        <v>-63.208153416006695</v>
      </c>
      <c r="AU18" s="5">
        <v>-69.098042947954866</v>
      </c>
      <c r="AV18" s="5">
        <v>-66.570459052165916</v>
      </c>
      <c r="AW18" s="5">
        <v>-108.3363051325622</v>
      </c>
      <c r="AX18" s="5">
        <v>-51.92503239625615</v>
      </c>
      <c r="AY18" s="5">
        <v>-95.435469772315926</v>
      </c>
      <c r="AZ18" s="5">
        <v>-120.89458788120268</v>
      </c>
      <c r="BA18" s="5">
        <v>-97.145874902703952</v>
      </c>
      <c r="BB18" s="5">
        <v>-96.9995344192278</v>
      </c>
      <c r="BC18" s="5">
        <v>-92.313317806316462</v>
      </c>
    </row>
    <row r="19" spans="1:55" x14ac:dyDescent="0.3">
      <c r="B19" s="5">
        <v>-0.10880175831644201</v>
      </c>
      <c r="C19" s="5">
        <v>-0.49236709714132321</v>
      </c>
      <c r="D19" s="5">
        <v>4.3712621721691436E-2</v>
      </c>
      <c r="E19" s="5">
        <v>2.7011288766840558E-2</v>
      </c>
      <c r="F19" s="5">
        <v>0.51766225579633995</v>
      </c>
      <c r="G19" s="5">
        <v>0.41969235623166784</v>
      </c>
      <c r="H19" s="5">
        <v>0.70565538504740122</v>
      </c>
      <c r="J19" s="5">
        <v>-40.151878487453544</v>
      </c>
      <c r="K19" s="5">
        <v>-41.453585750940235</v>
      </c>
      <c r="L19" s="5">
        <v>-47.809380811925294</v>
      </c>
      <c r="M19" s="5">
        <v>-43.012948956088991</v>
      </c>
      <c r="N19" s="5">
        <v>-41.479073896464527</v>
      </c>
      <c r="O19" s="5">
        <v>-42.722931404664152</v>
      </c>
      <c r="P19" s="5">
        <v>-14.712102171072136</v>
      </c>
      <c r="R19" s="5">
        <v>1.2920818330740076</v>
      </c>
      <c r="S19" s="5">
        <v>-5.0965313403242085</v>
      </c>
      <c r="T19" s="5">
        <v>-10.01946950153005</v>
      </c>
      <c r="U19" s="5">
        <v>-7.1703428170300079</v>
      </c>
      <c r="V19" s="5">
        <v>-28.999976598978968</v>
      </c>
      <c r="W19" s="5">
        <v>49.47744204510348</v>
      </c>
      <c r="X19" s="5">
        <v>23.899608214536251</v>
      </c>
      <c r="Z19" s="5">
        <v>-0.10216188778682593</v>
      </c>
      <c r="AA19" s="5">
        <v>-0.11125545643472098</v>
      </c>
      <c r="AB19" s="5">
        <v>-0.16036099726883257</v>
      </c>
      <c r="AC19" s="5">
        <v>-0.10279193798296409</v>
      </c>
      <c r="AD19" s="5">
        <v>-0.14300592570992948</v>
      </c>
      <c r="AE19" s="5"/>
      <c r="AF19" s="5">
        <v>-0.12910256690645466</v>
      </c>
      <c r="AH19" s="5">
        <v>-301.13596835523151</v>
      </c>
      <c r="AI19" s="5">
        <v>-206.81546254958283</v>
      </c>
      <c r="AJ19" s="5">
        <v>-146.16941754929604</v>
      </c>
      <c r="AK19" s="5">
        <v>-140.49472752218145</v>
      </c>
      <c r="AL19" s="5">
        <v>-206.81546254958283</v>
      </c>
      <c r="AM19" s="5">
        <v>-146.16941754929604</v>
      </c>
      <c r="AN19" s="5">
        <v>-140.49472752218145</v>
      </c>
      <c r="AP19" s="5">
        <v>40.553670878914176</v>
      </c>
      <c r="AQ19" s="5">
        <v>54.720309701795387</v>
      </c>
      <c r="AR19" s="5">
        <v>49.500458440462523</v>
      </c>
      <c r="AS19" s="5">
        <v>44.865343560684799</v>
      </c>
      <c r="AT19" s="5">
        <v>57.569629034917121</v>
      </c>
      <c r="AU19" s="5">
        <v>43.982003266542591</v>
      </c>
      <c r="AV19" s="5">
        <v>48.647501209934909</v>
      </c>
      <c r="AW19" s="5">
        <v>42.079932165419052</v>
      </c>
      <c r="AX19" s="5">
        <v>61.029630361523232</v>
      </c>
      <c r="AY19" s="5">
        <v>83.568058698075362</v>
      </c>
      <c r="AZ19" s="5">
        <v>74.43948815550398</v>
      </c>
      <c r="BA19" s="5">
        <v>65.739378654932224</v>
      </c>
      <c r="BB19" s="5">
        <v>62.506965736517294</v>
      </c>
      <c r="BC19" s="5">
        <v>70.081050197456008</v>
      </c>
    </row>
    <row r="20" spans="1:55" x14ac:dyDescent="0.3">
      <c r="B20" s="5">
        <v>-1.2018584070011089</v>
      </c>
      <c r="C20" s="5">
        <v>-0.16379287632530665</v>
      </c>
      <c r="D20" s="5">
        <v>0.1141496274549441</v>
      </c>
      <c r="E20" s="5">
        <v>-5.7073976972176456E-2</v>
      </c>
      <c r="F20" s="5">
        <v>-0.89674798274948098</v>
      </c>
      <c r="G20" s="5">
        <v>-0.47544340221050679</v>
      </c>
      <c r="H20" s="5">
        <v>0.46771691777980151</v>
      </c>
      <c r="J20" s="5">
        <v>-25.60153326516598</v>
      </c>
      <c r="K20" s="5">
        <v>-24.244386158324261</v>
      </c>
      <c r="L20" s="5">
        <v>-30.825624639590067</v>
      </c>
      <c r="M20" s="5">
        <v>-27.359548377115846</v>
      </c>
      <c r="N20" s="5">
        <v>-24.162651423468969</v>
      </c>
      <c r="O20" s="5">
        <v>-25.432646795264247</v>
      </c>
      <c r="P20" s="5">
        <v>-21.509768695557014</v>
      </c>
      <c r="R20" s="5">
        <v>-81.981935106848667</v>
      </c>
      <c r="S20" s="5">
        <v>-80.555700160164918</v>
      </c>
      <c r="T20" s="5">
        <v>-94.248936312934205</v>
      </c>
      <c r="U20" s="5">
        <v>-102.33034863668735</v>
      </c>
      <c r="V20" s="5">
        <v>-77.336043703307141</v>
      </c>
      <c r="W20" s="5">
        <v>-39.120174967368229</v>
      </c>
      <c r="X20" s="5">
        <v>-63.285440325078625</v>
      </c>
      <c r="Z20" s="5">
        <v>-0.18858470137097974</v>
      </c>
      <c r="AA20" s="5">
        <v>-0.18222778689070893</v>
      </c>
      <c r="AB20" s="5">
        <v>-6.0004494671156899E-2</v>
      </c>
      <c r="AC20" s="5">
        <v>-0.15414783037023169</v>
      </c>
      <c r="AD20" s="5">
        <v>-0.1024314159666547</v>
      </c>
      <c r="AE20" s="5"/>
      <c r="AF20" s="5">
        <v>-0.10753234608639528</v>
      </c>
      <c r="AH20" s="5">
        <v>-326.28728893551181</v>
      </c>
      <c r="AI20" s="5">
        <v>-366.32353420640345</v>
      </c>
      <c r="AJ20" s="5">
        <v>-367.19335899522338</v>
      </c>
      <c r="AK20" s="5">
        <v>-334.34998110643789</v>
      </c>
      <c r="AL20" s="5">
        <v>-366.32353420640345</v>
      </c>
      <c r="AM20" s="5">
        <v>-367.19335899522338</v>
      </c>
      <c r="AN20" s="5">
        <v>-334.34998110643789</v>
      </c>
      <c r="AP20" s="5">
        <v>-47.619369785207105</v>
      </c>
      <c r="AQ20" s="5">
        <v>-57.085705066106797</v>
      </c>
      <c r="AR20" s="5">
        <v>-78.299939895401224</v>
      </c>
      <c r="AS20" s="5">
        <v>-36.420589500664022</v>
      </c>
      <c r="AT20" s="5">
        <v>-56.429077722089175</v>
      </c>
      <c r="AU20" s="5">
        <v>-47.184071253895482</v>
      </c>
      <c r="AV20" s="5">
        <v>-51.215860800087427</v>
      </c>
      <c r="AW20" s="5">
        <v>-60.919944457259774</v>
      </c>
      <c r="AX20" s="5">
        <v>-49.092958917933899</v>
      </c>
      <c r="AY20" s="5">
        <v>-68.413341089765069</v>
      </c>
      <c r="AZ20" s="5">
        <v>-68.436427876848654</v>
      </c>
      <c r="BA20" s="5">
        <v>-96.808157605804098</v>
      </c>
      <c r="BB20" s="5">
        <v>-74.890697817524583</v>
      </c>
      <c r="BC20" s="5">
        <v>-72.833795752056929</v>
      </c>
    </row>
    <row r="21" spans="1:55" x14ac:dyDescent="0.3">
      <c r="B21" s="5">
        <v>4.1888829428852565</v>
      </c>
      <c r="C21" s="5">
        <v>3.479605852859279</v>
      </c>
      <c r="D21" s="5">
        <v>2.892696795413527</v>
      </c>
      <c r="E21" s="5">
        <v>2.7758004396819778</v>
      </c>
      <c r="F21" s="5">
        <v>4.353995675708668</v>
      </c>
      <c r="G21" s="5">
        <v>2.7477969315937569</v>
      </c>
      <c r="H21" s="5">
        <v>3.5804561307592717</v>
      </c>
      <c r="J21" s="5">
        <v>10.22759151835009</v>
      </c>
      <c r="K21" s="5">
        <v>10.471381332924075</v>
      </c>
      <c r="L21" s="5">
        <v>19.646787300876376</v>
      </c>
      <c r="M21" s="5">
        <v>12.405764570463875</v>
      </c>
      <c r="N21" s="5">
        <v>10.44481977536641</v>
      </c>
      <c r="O21" s="5">
        <v>12.440119787490053</v>
      </c>
      <c r="P21" s="5">
        <v>49.287365338568208</v>
      </c>
      <c r="R21" s="5">
        <v>-46.567018467829698</v>
      </c>
      <c r="S21" s="5">
        <v>-46.119724575326515</v>
      </c>
      <c r="T21" s="5">
        <v>-35.091471252588718</v>
      </c>
      <c r="U21" s="5">
        <v>-44.672613448487226</v>
      </c>
      <c r="V21" s="5">
        <v>-25.202173144816886</v>
      </c>
      <c r="W21" s="5">
        <v>-0.29592210141168618</v>
      </c>
      <c r="X21" s="5">
        <v>-13.269457893039231</v>
      </c>
      <c r="Z21" s="5">
        <v>7.7022106362780368E-2</v>
      </c>
      <c r="AA21" s="5">
        <v>6.5563801492022927E-2</v>
      </c>
      <c r="AB21" s="5">
        <v>0.1129977516817969</v>
      </c>
      <c r="AC21" s="5">
        <v>4.4083625295432027E-2</v>
      </c>
      <c r="AD21" s="5">
        <v>3.5124605155335886E-2</v>
      </c>
      <c r="AE21" s="5"/>
      <c r="AF21" s="5">
        <v>7.3141191810274758E-2</v>
      </c>
      <c r="AH21" s="5">
        <v>566.99646001385372</v>
      </c>
      <c r="AI21" s="5">
        <v>466.87726564270503</v>
      </c>
      <c r="AJ21" s="5">
        <v>461.0938506513271</v>
      </c>
      <c r="AK21" s="5">
        <v>362.5208527664343</v>
      </c>
      <c r="AL21" s="5">
        <v>466.87726564270503</v>
      </c>
      <c r="AM21" s="5">
        <v>461.0938506513271</v>
      </c>
      <c r="AN21" s="5">
        <v>362.5208527664343</v>
      </c>
      <c r="AP21" s="5">
        <v>-46.740127413385089</v>
      </c>
      <c r="AQ21" s="5">
        <v>-38.581484235611896</v>
      </c>
      <c r="AR21" s="5">
        <v>5.2605268517954187</v>
      </c>
      <c r="AS21" s="5">
        <v>-42.56758146144675</v>
      </c>
      <c r="AT21" s="5">
        <v>-29.035419556930201</v>
      </c>
      <c r="AU21" s="5">
        <v>-45.85883393312686</v>
      </c>
      <c r="AV21" s="5">
        <v>-19.304297424043671</v>
      </c>
      <c r="AW21" s="5">
        <v>-38.754555486028508</v>
      </c>
      <c r="AX21" s="5">
        <v>26.511381518453305</v>
      </c>
      <c r="AY21" s="5">
        <v>32.091899246412126</v>
      </c>
      <c r="AZ21" s="5">
        <v>14.225085822144152</v>
      </c>
      <c r="BA21" s="5">
        <v>11.028311805546331</v>
      </c>
      <c r="BB21" s="5">
        <v>-19.103638110927399</v>
      </c>
      <c r="BC21" s="5">
        <v>-1.2528311613609766</v>
      </c>
    </row>
    <row r="22" spans="1:55" x14ac:dyDescent="0.3">
      <c r="B22" s="5">
        <v>0.44140392140260065</v>
      </c>
      <c r="C22" s="5">
        <v>1.2363316950796426</v>
      </c>
      <c r="D22" s="5">
        <v>1.0629231333877041</v>
      </c>
      <c r="E22" s="5">
        <v>1.1844623939356094</v>
      </c>
      <c r="F22" s="5">
        <v>0.94187511197114604</v>
      </c>
      <c r="G22" s="5">
        <v>1.6155762533479829</v>
      </c>
      <c r="H22" s="5">
        <v>1.4529333839597083</v>
      </c>
      <c r="J22" s="5">
        <v>36.12862494935014</v>
      </c>
      <c r="K22" s="5">
        <v>36.113620741655581</v>
      </c>
      <c r="L22" s="5">
        <v>32.850329417000367</v>
      </c>
      <c r="M22" s="5">
        <v>37.716741843160641</v>
      </c>
      <c r="N22" s="5">
        <v>36.10159427464469</v>
      </c>
      <c r="O22" s="5">
        <v>36.357757635644731</v>
      </c>
      <c r="P22" s="5">
        <v>50.382219840586018</v>
      </c>
      <c r="R22" s="5">
        <v>-1.4467541896959659</v>
      </c>
      <c r="S22" s="5">
        <v>3.2172458631328897</v>
      </c>
      <c r="T22" s="5">
        <v>-2.4549034123046019</v>
      </c>
      <c r="U22" s="5">
        <v>12.515438484495546</v>
      </c>
      <c r="V22" s="5">
        <v>46.288644124600893</v>
      </c>
      <c r="W22" s="5">
        <v>26.042779183419938</v>
      </c>
      <c r="X22" s="5">
        <v>30.275153109311052</v>
      </c>
      <c r="Z22" s="5">
        <v>6.0279608535593471E-2</v>
      </c>
      <c r="AA22" s="5">
        <v>-8.5042629856632579E-3</v>
      </c>
      <c r="AB22" s="5">
        <v>8.4425387454885314E-2</v>
      </c>
      <c r="AC22" s="5">
        <v>1.1794128546939696E-2</v>
      </c>
      <c r="AD22" s="5">
        <v>3.6135362385185277E-2</v>
      </c>
      <c r="AE22" s="5"/>
      <c r="AF22" s="5">
        <v>2.2099877879653246E-2</v>
      </c>
      <c r="AH22" s="5">
        <v>-98.121904798391768</v>
      </c>
      <c r="AI22" s="5">
        <v>-166.91529376578046</v>
      </c>
      <c r="AJ22" s="5">
        <v>-89.059660108469885</v>
      </c>
      <c r="AK22" s="5">
        <v>-41.789690629506865</v>
      </c>
      <c r="AL22" s="5">
        <v>-166.91529376578046</v>
      </c>
      <c r="AM22" s="5">
        <v>-89.059660108469885</v>
      </c>
      <c r="AN22" s="5">
        <v>-41.789690629506865</v>
      </c>
      <c r="AP22" s="5">
        <v>49.85744327347691</v>
      </c>
      <c r="AQ22" s="5">
        <v>45.276955151811869</v>
      </c>
      <c r="AR22" s="5">
        <v>40.783362967319988</v>
      </c>
      <c r="AS22" s="5">
        <v>9.1658567633819814</v>
      </c>
      <c r="AT22" s="5">
        <v>45.262771414241293</v>
      </c>
      <c r="AU22" s="5">
        <v>63.063565775662163</v>
      </c>
      <c r="AV22" s="5">
        <v>39.821086388910942</v>
      </c>
      <c r="AW22" s="5">
        <v>82.371274561403197</v>
      </c>
      <c r="AX22" s="5">
        <v>61.394727916034363</v>
      </c>
      <c r="AY22" s="5">
        <v>57.364247720441917</v>
      </c>
      <c r="AZ22" s="5">
        <v>77.670215113879649</v>
      </c>
      <c r="BA22" s="5">
        <v>45.657895519730715</v>
      </c>
      <c r="BB22" s="5">
        <v>59.982598974621297</v>
      </c>
      <c r="BC22" s="5">
        <v>60.618249659573408</v>
      </c>
    </row>
    <row r="23" spans="1:55" x14ac:dyDescent="0.3">
      <c r="B23" s="5">
        <v>-2.3888680385394054</v>
      </c>
      <c r="C23" s="5">
        <v>-4.1593158108833546</v>
      </c>
      <c r="D23" s="5">
        <v>-4.2346568825250968</v>
      </c>
      <c r="E23" s="5">
        <v>-4.1394856249311633</v>
      </c>
      <c r="F23" s="5">
        <v>-1.5845196297342679</v>
      </c>
      <c r="G23" s="5">
        <v>-4.5163148900265844</v>
      </c>
      <c r="H23" s="5">
        <v>-1.380024004931603</v>
      </c>
      <c r="J23" s="5">
        <v>-33.751061515508141</v>
      </c>
      <c r="K23" s="5">
        <v>-33.798950373242022</v>
      </c>
      <c r="L23" s="5">
        <v>-28.131310789174258</v>
      </c>
      <c r="M23" s="5">
        <v>-33.557466834988958</v>
      </c>
      <c r="N23" s="5">
        <v>-33.798398327990526</v>
      </c>
      <c r="O23" s="5">
        <v>-33.729802355717581</v>
      </c>
      <c r="P23" s="5">
        <v>-1.6485229323139343</v>
      </c>
      <c r="R23" s="5">
        <v>-96.925252069826385</v>
      </c>
      <c r="S23" s="5">
        <v>-93.891984199745323</v>
      </c>
      <c r="T23" s="5">
        <v>-81.826609825575204</v>
      </c>
      <c r="U23" s="5">
        <v>-90.467491793267754</v>
      </c>
      <c r="V23" s="5">
        <v>-33.697183846414461</v>
      </c>
      <c r="W23" s="5">
        <v>-68.952268535638382</v>
      </c>
      <c r="X23" s="5">
        <v>-32.777202781946102</v>
      </c>
      <c r="Z23" s="5">
        <v>1.2412556940269298E-2</v>
      </c>
      <c r="AA23" s="5">
        <v>2.0098192458641806E-2</v>
      </c>
      <c r="AB23" s="5">
        <v>6.5044190771829991E-2</v>
      </c>
      <c r="AC23" s="5">
        <v>3.3856127029967702E-2</v>
      </c>
      <c r="AD23" s="5">
        <v>1.9805667856300044E-2</v>
      </c>
      <c r="AE23" s="5"/>
      <c r="AF23" s="5">
        <v>-6.2682589909125452E-3</v>
      </c>
      <c r="AH23" s="5">
        <v>134.77769085421545</v>
      </c>
      <c r="AI23" s="5">
        <v>134.86029494538423</v>
      </c>
      <c r="AJ23" s="5">
        <v>93.310285760473903</v>
      </c>
      <c r="AK23" s="5">
        <v>117.01605336831682</v>
      </c>
      <c r="AL23" s="5">
        <v>134.86029494538423</v>
      </c>
      <c r="AM23" s="5">
        <v>93.310285760473903</v>
      </c>
      <c r="AN23" s="5">
        <v>117.01605336831682</v>
      </c>
      <c r="AP23" s="5">
        <v>-18.18042932079149</v>
      </c>
      <c r="AQ23" s="5">
        <v>-29.266866796016473</v>
      </c>
      <c r="AR23" s="5">
        <v>11.89234505233032</v>
      </c>
      <c r="AS23" s="5">
        <v>-11.799216310342757</v>
      </c>
      <c r="AT23" s="5">
        <v>-22.405288681251186</v>
      </c>
      <c r="AU23" s="5">
        <v>-16.008557999850868</v>
      </c>
      <c r="AV23" s="5">
        <v>-4.02498012939785</v>
      </c>
      <c r="AW23" s="5">
        <v>-26.921992369572763</v>
      </c>
      <c r="AX23" s="5">
        <v>-4.0860858790068804</v>
      </c>
      <c r="AY23" s="5">
        <v>5.3082166142488063</v>
      </c>
      <c r="AZ23" s="5">
        <v>12.174662371684221</v>
      </c>
      <c r="BA23" s="5">
        <v>-26.566285998306945</v>
      </c>
      <c r="BB23" s="5">
        <v>-33.013409566569415</v>
      </c>
      <c r="BC23" s="5">
        <v>-21.814278748949118</v>
      </c>
    </row>
    <row r="24" spans="1:55" x14ac:dyDescent="0.3">
      <c r="B24" s="5">
        <v>-3.8064214193308308</v>
      </c>
      <c r="C24" s="5">
        <v>-2.9354747279814801</v>
      </c>
      <c r="D24" s="5">
        <v>-2.0416937234702908</v>
      </c>
      <c r="E24" s="5">
        <v>-1.9525912982711706</v>
      </c>
      <c r="F24" s="5">
        <v>-3.365241949910708</v>
      </c>
      <c r="G24" s="5">
        <v>-1.2149948921727804</v>
      </c>
      <c r="H24" s="5">
        <v>-1.271972379529543</v>
      </c>
      <c r="J24" s="5">
        <v>-45.235134651271593</v>
      </c>
      <c r="K24" s="5">
        <v>-45.681311407354556</v>
      </c>
      <c r="L24" s="5">
        <v>-51.377642167711414</v>
      </c>
      <c r="M24" s="5">
        <v>-45.844614746317198</v>
      </c>
      <c r="N24" s="5">
        <v>-45.694164688451707</v>
      </c>
      <c r="O24" s="5">
        <v>-46.115731653456258</v>
      </c>
      <c r="P24" s="5">
        <v>-33.378362647578612</v>
      </c>
      <c r="R24" s="5">
        <v>-7.5123891841232684</v>
      </c>
      <c r="S24" s="5">
        <v>-5.647917672762663</v>
      </c>
      <c r="T24" s="5">
        <v>-5.3107346120988286</v>
      </c>
      <c r="U24" s="5">
        <v>9.5290148414065534</v>
      </c>
      <c r="V24" s="5">
        <v>-20.576335842056977</v>
      </c>
      <c r="W24" s="5">
        <v>8.8088746154600841</v>
      </c>
      <c r="X24" s="5">
        <v>-10.461984847285677</v>
      </c>
      <c r="Z24" s="5">
        <v>-2.3574103968052103E-2</v>
      </c>
      <c r="AA24" s="5">
        <v>1.8417361707265788E-3</v>
      </c>
      <c r="AB24" s="5">
        <v>-4.9344522277740291E-2</v>
      </c>
      <c r="AC24" s="5">
        <v>-6.8606101612610326E-2</v>
      </c>
      <c r="AD24" s="5">
        <v>-2.5361678105688477E-2</v>
      </c>
      <c r="AE24" s="5"/>
      <c r="AF24" s="5">
        <v>-4.8704288023625246E-2</v>
      </c>
      <c r="AH24" s="5">
        <v>-200.72615885285586</v>
      </c>
      <c r="AI24" s="5">
        <v>-156.23051352735442</v>
      </c>
      <c r="AJ24" s="5">
        <v>-70.138169518957142</v>
      </c>
      <c r="AK24" s="5">
        <v>-139.44882708998512</v>
      </c>
      <c r="AL24" s="5">
        <v>-156.23051352735442</v>
      </c>
      <c r="AM24" s="5">
        <v>-70.138169518957142</v>
      </c>
      <c r="AN24" s="5">
        <v>-139.44882708998512</v>
      </c>
      <c r="AP24" s="5">
        <v>-6.2756646330965467</v>
      </c>
      <c r="AQ24" s="5">
        <v>5.6298644958995894</v>
      </c>
      <c r="AR24" s="5">
        <v>-24.548512240346131</v>
      </c>
      <c r="AS24" s="5">
        <v>-27.986531847917462</v>
      </c>
      <c r="AT24" s="5">
        <v>9.1095192520250947</v>
      </c>
      <c r="AU24" s="5">
        <v>3.1794957899291862</v>
      </c>
      <c r="AV24" s="5">
        <v>-21.324558506455361</v>
      </c>
      <c r="AW24" s="5">
        <v>-14.039559187888976</v>
      </c>
      <c r="AX24" s="5">
        <v>-62.118790169481223</v>
      </c>
      <c r="AY24" s="5">
        <v>-64.526320661284032</v>
      </c>
      <c r="AZ24" s="5">
        <v>-64.174378205386347</v>
      </c>
      <c r="BA24" s="5">
        <v>-20.523743750918115</v>
      </c>
      <c r="BB24" s="5">
        <v>-8.9152785855654244</v>
      </c>
      <c r="BC24" s="5">
        <v>-33.284370496037013</v>
      </c>
    </row>
    <row r="25" spans="1:55" x14ac:dyDescent="0.3">
      <c r="B25" s="5">
        <v>-0.10868714552090597</v>
      </c>
      <c r="C25" s="5">
        <v>-8.125130509194145E-2</v>
      </c>
      <c r="D25" s="5">
        <v>-5.6895099048588804E-2</v>
      </c>
      <c r="E25" s="5">
        <v>-0.28430167517006033</v>
      </c>
      <c r="F25" s="5">
        <v>-0.30018811038822468</v>
      </c>
      <c r="G25" s="5">
        <v>-1.1032416645637262</v>
      </c>
      <c r="H25" s="5">
        <v>1.5703806881789362</v>
      </c>
      <c r="J25" s="5">
        <v>-18.984763308783283</v>
      </c>
      <c r="K25" s="5">
        <v>-18.05628464597655</v>
      </c>
      <c r="L25" s="5">
        <v>-17.424863590569437</v>
      </c>
      <c r="M25" s="5">
        <v>-19.028335207528777</v>
      </c>
      <c r="N25" s="5">
        <v>-18.009835239242616</v>
      </c>
      <c r="O25" s="5">
        <v>-18.289992364619952</v>
      </c>
      <c r="P25" s="5">
        <v>-2.9608799095752349</v>
      </c>
      <c r="R25" s="5">
        <v>11.740514716783158</v>
      </c>
      <c r="S25" s="5">
        <v>16.909291684867558</v>
      </c>
      <c r="T25" s="5">
        <v>16.25580093011661</v>
      </c>
      <c r="U25" s="5">
        <v>11.728198925302713</v>
      </c>
      <c r="V25" s="5">
        <v>0.10927597722102433</v>
      </c>
      <c r="W25" s="5">
        <v>15.967731365312686</v>
      </c>
      <c r="X25" s="5">
        <v>-10.172457329691611</v>
      </c>
      <c r="Z25" s="5">
        <v>-1.6719481880638661E-3</v>
      </c>
      <c r="AA25" s="5">
        <v>1.4889987057306544E-2</v>
      </c>
      <c r="AB25" s="5">
        <v>-4.5206977536119825E-4</v>
      </c>
      <c r="AC25" s="5">
        <v>-2.182828177288143E-2</v>
      </c>
      <c r="AD25" s="5">
        <v>1.525758410352536E-2</v>
      </c>
      <c r="AE25" s="5"/>
      <c r="AF25" s="5">
        <v>9.0930592164351707E-3</v>
      </c>
      <c r="AH25" s="5">
        <v>282.90777060223252</v>
      </c>
      <c r="AI25" s="5">
        <v>196.20746858270567</v>
      </c>
      <c r="AJ25" s="5">
        <v>211.81265823808323</v>
      </c>
      <c r="AK25" s="5">
        <v>286.62904511650805</v>
      </c>
      <c r="AL25" s="5">
        <v>196.20746858270567</v>
      </c>
      <c r="AM25" s="5">
        <v>211.81265823808323</v>
      </c>
      <c r="AN25" s="5">
        <v>286.62904511650805</v>
      </c>
      <c r="AP25" s="5">
        <v>-35.670613979146985</v>
      </c>
      <c r="AQ25" s="5">
        <v>-28.966865663763485</v>
      </c>
      <c r="AR25" s="5">
        <v>-22.66914974259381</v>
      </c>
      <c r="AS25" s="5">
        <v>-39.449967543453553</v>
      </c>
      <c r="AT25" s="5">
        <v>-31.578342098049689</v>
      </c>
      <c r="AU25" s="5">
        <v>-19.795143390145881</v>
      </c>
      <c r="AV25" s="5">
        <v>-34.292483394605469</v>
      </c>
      <c r="AW25" s="5">
        <v>-36.931654188855973</v>
      </c>
      <c r="AX25" s="5">
        <v>6.5419624306051176</v>
      </c>
      <c r="AY25" s="5">
        <v>-10.111858296224632</v>
      </c>
      <c r="AZ25" s="5">
        <v>38.892510721239034</v>
      </c>
      <c r="BA25" s="5">
        <v>-28.617258200886162</v>
      </c>
      <c r="BB25" s="5">
        <v>-42.169155935391089</v>
      </c>
      <c r="BC25" s="5">
        <v>-14.215786267172295</v>
      </c>
    </row>
    <row r="26" spans="1:55" x14ac:dyDescent="0.3">
      <c r="B26" s="5">
        <v>-2.3030970725514335</v>
      </c>
      <c r="C26" s="5">
        <v>-1.3181365198331871</v>
      </c>
      <c r="D26" s="5">
        <v>-2.0129406449320326</v>
      </c>
      <c r="E26" s="5">
        <v>-2.0946448119979735</v>
      </c>
      <c r="F26" s="5">
        <v>-2.7396220867377967</v>
      </c>
      <c r="G26" s="5">
        <v>-1.9385043542431246</v>
      </c>
      <c r="H26" s="5">
        <v>-2.0575815821613692</v>
      </c>
      <c r="J26" s="5">
        <v>-10.538464866123087</v>
      </c>
      <c r="K26" s="5">
        <v>-10.334541945345419</v>
      </c>
      <c r="L26" s="5">
        <v>-8.3679409363909816</v>
      </c>
      <c r="M26" s="5">
        <v>-8.674165248172061</v>
      </c>
      <c r="N26" s="5">
        <v>-10.353680143316373</v>
      </c>
      <c r="O26" s="5">
        <v>-9.0755358607412244</v>
      </c>
      <c r="P26" s="5">
        <v>6.4959914380210302</v>
      </c>
      <c r="R26" s="5">
        <v>-6.9269464806319432</v>
      </c>
      <c r="S26" s="5">
        <v>-5.7226532010918669</v>
      </c>
      <c r="T26" s="5">
        <v>6.5070965644695899</v>
      </c>
      <c r="U26" s="5">
        <v>9.7862398582768009</v>
      </c>
      <c r="V26" s="5">
        <v>11.079987737211159</v>
      </c>
      <c r="W26" s="5">
        <v>1.6386103769422125</v>
      </c>
      <c r="X26" s="5">
        <v>3.9859670613968792</v>
      </c>
      <c r="Z26" s="5">
        <v>8.8879178478623061E-2</v>
      </c>
      <c r="AA26" s="5">
        <v>8.8783113689916537E-2</v>
      </c>
      <c r="AB26" s="5">
        <v>6.7068267045381949E-2</v>
      </c>
      <c r="AC26" s="5">
        <v>7.2966249783992243E-2</v>
      </c>
      <c r="AD26" s="5">
        <v>6.5109673055783107E-2</v>
      </c>
      <c r="AE26" s="5"/>
      <c r="AF26" s="5">
        <v>6.3410405240592466E-2</v>
      </c>
      <c r="AH26" s="5">
        <v>71.328918029157904</v>
      </c>
      <c r="AI26" s="5">
        <v>130.26500636223722</v>
      </c>
      <c r="AJ26" s="5">
        <v>229.49538187982597</v>
      </c>
      <c r="AK26" s="5">
        <v>203.75781818052371</v>
      </c>
      <c r="AL26" s="5">
        <v>130.26500636223722</v>
      </c>
      <c r="AM26" s="5">
        <v>229.49538187982597</v>
      </c>
      <c r="AN26" s="5">
        <v>203.75781818052371</v>
      </c>
      <c r="AP26" s="5">
        <v>-1.8185605395347793</v>
      </c>
      <c r="AQ26" s="5">
        <v>7.4076099734660517</v>
      </c>
      <c r="AR26" s="5">
        <v>13.775305248979487</v>
      </c>
      <c r="AS26" s="5">
        <v>35.950632940282688</v>
      </c>
      <c r="AT26" s="5">
        <v>9.209442401655382</v>
      </c>
      <c r="AU26" s="5">
        <v>12.808368634126722</v>
      </c>
      <c r="AV26" s="5">
        <v>21.452208502319522</v>
      </c>
      <c r="AW26" s="5">
        <v>13.008390067923237</v>
      </c>
      <c r="AX26" s="5">
        <v>29.972825403573413</v>
      </c>
      <c r="AY26" s="5">
        <v>31.252540092089916</v>
      </c>
      <c r="AZ26" s="5">
        <v>-4.7240083267922124</v>
      </c>
      <c r="BA26" s="5">
        <v>10.759747734223733</v>
      </c>
      <c r="BB26" s="5">
        <v>7.3385234733072719</v>
      </c>
      <c r="BC26" s="5">
        <v>30.220744284008198</v>
      </c>
    </row>
    <row r="27" spans="1:55" x14ac:dyDescent="0.3">
      <c r="B27" s="5">
        <v>-1.653773202900908</v>
      </c>
      <c r="C27" s="5">
        <v>-2.4098949258432572</v>
      </c>
      <c r="D27" s="5">
        <v>-2.8532854757782502</v>
      </c>
      <c r="E27" s="5">
        <v>-2.5970490950224718</v>
      </c>
      <c r="F27" s="5">
        <v>-2.2645740611057632</v>
      </c>
      <c r="G27" s="5">
        <v>-1.982825379638149</v>
      </c>
      <c r="H27" s="5">
        <v>-2.2920007537204126</v>
      </c>
      <c r="J27" s="5">
        <v>-63.489458839221946</v>
      </c>
      <c r="K27" s="5">
        <v>-63.203947671631141</v>
      </c>
      <c r="L27" s="5">
        <v>-61.00054645007593</v>
      </c>
      <c r="M27" s="5">
        <v>-62.002880971376953</v>
      </c>
      <c r="N27" s="5">
        <v>-63.200433946566221</v>
      </c>
      <c r="O27" s="5">
        <v>-62.842684134163612</v>
      </c>
      <c r="P27" s="5">
        <v>-47.90805044666461</v>
      </c>
      <c r="R27" s="5">
        <v>-57.329483094703328</v>
      </c>
      <c r="S27" s="5">
        <v>-57.48294996355213</v>
      </c>
      <c r="T27" s="5">
        <v>-60.439921563506289</v>
      </c>
      <c r="U27" s="5">
        <v>-49.462700319542073</v>
      </c>
      <c r="V27" s="5">
        <v>-46.989440865402599</v>
      </c>
      <c r="W27" s="5">
        <v>-51.342564619426646</v>
      </c>
      <c r="X27" s="5">
        <v>-53.167827942958944</v>
      </c>
      <c r="Z27" s="5">
        <v>2.7266135909831922E-2</v>
      </c>
      <c r="AA27" s="5">
        <v>2.2092909834232573E-2</v>
      </c>
      <c r="AB27" s="5">
        <v>1.135231946547445E-3</v>
      </c>
      <c r="AC27" s="5">
        <v>2.2122018556231124E-2</v>
      </c>
      <c r="AD27" s="5">
        <v>1.4259175134312508E-2</v>
      </c>
      <c r="AE27" s="5"/>
      <c r="AF27" s="5">
        <v>-2.4990010916380217E-3</v>
      </c>
      <c r="AH27" s="5">
        <v>-240.36018295361501</v>
      </c>
      <c r="AI27" s="5">
        <v>-264.01259626937798</v>
      </c>
      <c r="AJ27" s="5">
        <v>-173.34562954929453</v>
      </c>
      <c r="AK27" s="5">
        <v>-77.549161671083851</v>
      </c>
      <c r="AL27" s="5">
        <v>-264.01259626937798</v>
      </c>
      <c r="AM27" s="5">
        <v>-173.34562954929453</v>
      </c>
      <c r="AN27" s="5">
        <v>-77.549161671083851</v>
      </c>
      <c r="AP27" s="5">
        <v>9.9840113877537533</v>
      </c>
      <c r="AQ27" s="5">
        <v>13.926993303016808</v>
      </c>
      <c r="AR27" s="5">
        <v>22.334740855906951</v>
      </c>
      <c r="AS27" s="5">
        <v>36.083460963283429</v>
      </c>
      <c r="AT27" s="5">
        <v>12.478633173661374</v>
      </c>
      <c r="AU27" s="5">
        <v>27.309351217385284</v>
      </c>
      <c r="AV27" s="5">
        <v>10.651549361845944</v>
      </c>
      <c r="AW27" s="5">
        <v>18.892075907837388</v>
      </c>
      <c r="AX27" s="5">
        <v>24.083903175618801</v>
      </c>
      <c r="AY27" s="5">
        <v>25.849260589171326</v>
      </c>
      <c r="AZ27" s="5">
        <v>4.24772727032465</v>
      </c>
      <c r="BA27" s="5">
        <v>9.9189282930956111</v>
      </c>
      <c r="BB27" s="5">
        <v>-0.90669656973204082</v>
      </c>
      <c r="BC27" s="5">
        <v>14.854086486833104</v>
      </c>
    </row>
    <row r="28" spans="1:55" x14ac:dyDescent="0.3">
      <c r="B28" s="5">
        <v>1.3611727165512879</v>
      </c>
      <c r="C28" s="5">
        <v>2.3388987929579184</v>
      </c>
      <c r="D28" s="5">
        <v>2.3107760286507251</v>
      </c>
      <c r="E28" s="5">
        <v>2.5257805008276724</v>
      </c>
      <c r="F28" s="5">
        <v>0.45313368224892958</v>
      </c>
      <c r="G28" s="5">
        <v>1.9357694088720063</v>
      </c>
      <c r="H28" s="5">
        <v>1.8449482630956895</v>
      </c>
      <c r="J28" s="5">
        <v>-23.660883857710658</v>
      </c>
      <c r="K28" s="5">
        <v>-23.401907995762109</v>
      </c>
      <c r="L28" s="5">
        <v>-24.729511421678424</v>
      </c>
      <c r="M28" s="5">
        <v>-22.655946246688096</v>
      </c>
      <c r="N28" s="5">
        <v>-23.3973891403603</v>
      </c>
      <c r="O28" s="5">
        <v>-23.119285392318886</v>
      </c>
      <c r="P28" s="5">
        <v>-31.998475576256961</v>
      </c>
      <c r="R28" s="5">
        <v>82.431827912937052</v>
      </c>
      <c r="S28" s="5">
        <v>83.060771983438499</v>
      </c>
      <c r="T28" s="5">
        <v>81.807434561579271</v>
      </c>
      <c r="U28" s="5">
        <v>73.601504207242613</v>
      </c>
      <c r="V28" s="5">
        <v>62.915568561830895</v>
      </c>
      <c r="W28" s="5">
        <v>85.202264837905361</v>
      </c>
      <c r="X28" s="5">
        <v>57.701423933825779</v>
      </c>
      <c r="Z28" s="5">
        <v>-1.8602752312826858E-2</v>
      </c>
      <c r="AA28" s="5">
        <v>1.068923687586542E-2</v>
      </c>
      <c r="AB28" s="5">
        <v>-2.0788196885606118E-2</v>
      </c>
      <c r="AC28" s="5">
        <v>-4.9632848179801507E-3</v>
      </c>
      <c r="AD28" s="5">
        <v>-8.0256449637809701E-4</v>
      </c>
      <c r="AE28" s="5"/>
      <c r="AF28" s="5">
        <v>-2.13854876726371E-2</v>
      </c>
      <c r="AH28" s="5">
        <v>-348.8920507000762</v>
      </c>
      <c r="AI28" s="5">
        <v>-311.10650725369476</v>
      </c>
      <c r="AJ28" s="5">
        <v>-227.37435409493091</v>
      </c>
      <c r="AK28" s="5">
        <v>-261.24864480418631</v>
      </c>
      <c r="AL28" s="5">
        <v>-311.10650725369476</v>
      </c>
      <c r="AM28" s="5">
        <v>-227.37435409493091</v>
      </c>
      <c r="AN28" s="5">
        <v>-261.24864480418631</v>
      </c>
      <c r="AP28" s="5">
        <v>11.972589110449897</v>
      </c>
      <c r="AQ28" s="5">
        <v>23.122774457029223</v>
      </c>
      <c r="AR28" s="5">
        <v>15.66380011815388</v>
      </c>
      <c r="AS28" s="5">
        <v>44.180341611990556</v>
      </c>
      <c r="AT28" s="5">
        <v>23.312246902667777</v>
      </c>
      <c r="AU28" s="5">
        <v>28.304366703892523</v>
      </c>
      <c r="AV28" s="5">
        <v>6.0907779680601184</v>
      </c>
      <c r="AW28" s="5">
        <v>5.8318413553161363</v>
      </c>
      <c r="AX28" s="5">
        <v>-4.2301802641355657</v>
      </c>
      <c r="AY28" s="5">
        <v>-2.2351253055944866</v>
      </c>
      <c r="AZ28" s="5">
        <v>34.082456796089858</v>
      </c>
      <c r="BA28" s="5">
        <v>-4.4545137159856001</v>
      </c>
      <c r="BB28" s="5">
        <v>-4.0315417377271796</v>
      </c>
      <c r="BC28" s="5">
        <v>-0.1115892696526366</v>
      </c>
    </row>
    <row r="29" spans="1:55" x14ac:dyDescent="0.3">
      <c r="B29" s="5"/>
      <c r="C29" s="5"/>
      <c r="D29" s="5"/>
      <c r="E29" s="5"/>
      <c r="F29" s="5"/>
      <c r="G29" s="5"/>
      <c r="H29" s="5"/>
      <c r="R29" s="5"/>
      <c r="S29" s="5"/>
      <c r="T29" s="5"/>
      <c r="U29" s="5"/>
      <c r="V29" s="5"/>
      <c r="W29" s="5"/>
      <c r="X29" s="5"/>
    </row>
    <row r="30" spans="1:55" x14ac:dyDescent="0.3">
      <c r="A30" t="s">
        <v>17</v>
      </c>
      <c r="B30" s="5">
        <f>COUNT(B5:B28)</f>
        <v>24</v>
      </c>
      <c r="C30" s="5">
        <f t="shared" ref="C30:BC30" si="0">COUNT(C5:C28)</f>
        <v>24</v>
      </c>
      <c r="D30" s="5">
        <f t="shared" si="0"/>
        <v>24</v>
      </c>
      <c r="E30" s="5">
        <f t="shared" si="0"/>
        <v>24</v>
      </c>
      <c r="F30" s="5">
        <f t="shared" si="0"/>
        <v>24</v>
      </c>
      <c r="G30" s="5">
        <f t="shared" si="0"/>
        <v>24</v>
      </c>
      <c r="H30" s="5">
        <f t="shared" si="0"/>
        <v>24</v>
      </c>
      <c r="I30" s="5">
        <f t="shared" si="0"/>
        <v>0</v>
      </c>
      <c r="J30" s="5">
        <f t="shared" si="0"/>
        <v>24</v>
      </c>
      <c r="K30" s="5">
        <f t="shared" si="0"/>
        <v>24</v>
      </c>
      <c r="L30" s="5">
        <f t="shared" si="0"/>
        <v>24</v>
      </c>
      <c r="M30" s="5">
        <f t="shared" si="0"/>
        <v>24</v>
      </c>
      <c r="N30" s="5">
        <f t="shared" si="0"/>
        <v>24</v>
      </c>
      <c r="O30" s="5">
        <f t="shared" si="0"/>
        <v>24</v>
      </c>
      <c r="P30" s="5">
        <f t="shared" si="0"/>
        <v>24</v>
      </c>
      <c r="Q30" s="5">
        <f t="shared" si="0"/>
        <v>0</v>
      </c>
      <c r="R30" s="5">
        <f t="shared" si="0"/>
        <v>24</v>
      </c>
      <c r="S30" s="5">
        <f t="shared" si="0"/>
        <v>24</v>
      </c>
      <c r="T30" s="5">
        <f t="shared" si="0"/>
        <v>24</v>
      </c>
      <c r="U30" s="5">
        <f t="shared" si="0"/>
        <v>24</v>
      </c>
      <c r="V30" s="5">
        <f t="shared" si="0"/>
        <v>24</v>
      </c>
      <c r="W30" s="5">
        <f t="shared" si="0"/>
        <v>24</v>
      </c>
      <c r="X30" s="5">
        <f t="shared" si="0"/>
        <v>24</v>
      </c>
      <c r="Y30" s="5">
        <f t="shared" si="0"/>
        <v>0</v>
      </c>
      <c r="Z30" s="5">
        <f t="shared" si="0"/>
        <v>24</v>
      </c>
      <c r="AA30" s="5">
        <f t="shared" si="0"/>
        <v>24</v>
      </c>
      <c r="AB30" s="5">
        <f t="shared" si="0"/>
        <v>24</v>
      </c>
      <c r="AC30" s="5">
        <f t="shared" si="0"/>
        <v>24</v>
      </c>
      <c r="AD30" s="5">
        <f t="shared" si="0"/>
        <v>24</v>
      </c>
      <c r="AE30" s="5">
        <f t="shared" si="0"/>
        <v>0</v>
      </c>
      <c r="AF30" s="5">
        <f t="shared" si="0"/>
        <v>24</v>
      </c>
      <c r="AG30" s="5">
        <f t="shared" si="0"/>
        <v>0</v>
      </c>
      <c r="AH30" s="5">
        <f t="shared" si="0"/>
        <v>24</v>
      </c>
      <c r="AI30" s="5">
        <f t="shared" si="0"/>
        <v>24</v>
      </c>
      <c r="AJ30" s="5">
        <f t="shared" si="0"/>
        <v>24</v>
      </c>
      <c r="AK30" s="5">
        <f t="shared" si="0"/>
        <v>24</v>
      </c>
      <c r="AL30" s="5">
        <f t="shared" si="0"/>
        <v>24</v>
      </c>
      <c r="AM30" s="5">
        <f t="shared" si="0"/>
        <v>24</v>
      </c>
      <c r="AN30" s="5">
        <f t="shared" si="0"/>
        <v>24</v>
      </c>
      <c r="AO30" s="5">
        <f t="shared" si="0"/>
        <v>0</v>
      </c>
      <c r="AP30" s="5">
        <f t="shared" si="0"/>
        <v>24</v>
      </c>
      <c r="AQ30" s="5">
        <f t="shared" si="0"/>
        <v>24</v>
      </c>
      <c r="AR30" s="5">
        <f>COUNT(AR5:AR28)</f>
        <v>24</v>
      </c>
      <c r="AS30" s="5">
        <f t="shared" si="0"/>
        <v>24</v>
      </c>
      <c r="AT30" s="5">
        <f t="shared" si="0"/>
        <v>24</v>
      </c>
      <c r="AU30" s="5">
        <f t="shared" si="0"/>
        <v>24</v>
      </c>
      <c r="AV30" s="5">
        <f t="shared" si="0"/>
        <v>24</v>
      </c>
      <c r="AW30" s="5">
        <f t="shared" si="0"/>
        <v>23</v>
      </c>
      <c r="AX30" s="5">
        <f t="shared" si="0"/>
        <v>23</v>
      </c>
      <c r="AY30" s="5">
        <f t="shared" si="0"/>
        <v>23</v>
      </c>
      <c r="AZ30" s="5">
        <f t="shared" si="0"/>
        <v>23</v>
      </c>
      <c r="BA30" s="5">
        <f t="shared" si="0"/>
        <v>23</v>
      </c>
      <c r="BB30" s="5">
        <f t="shared" si="0"/>
        <v>23</v>
      </c>
      <c r="BC30" s="5">
        <f t="shared" si="0"/>
        <v>23</v>
      </c>
    </row>
    <row r="31" spans="1:55" x14ac:dyDescent="0.3">
      <c r="A31" t="s">
        <v>18</v>
      </c>
      <c r="B31" s="5">
        <f>VAR(B5:B28)</f>
        <v>5.6265434590454779</v>
      </c>
      <c r="C31" s="5">
        <f t="shared" ref="C31:BC31" si="1">VAR(C5:C28)</f>
        <v>4.7423134652683201</v>
      </c>
      <c r="D31" s="5">
        <f t="shared" si="1"/>
        <v>4.5916351840671457</v>
      </c>
      <c r="E31" s="5">
        <f t="shared" si="1"/>
        <v>4.5682886896780062</v>
      </c>
      <c r="F31" s="5">
        <f t="shared" si="1"/>
        <v>5.4695656745769741</v>
      </c>
      <c r="G31" s="5">
        <f t="shared" si="1"/>
        <v>4.3090615011148268</v>
      </c>
      <c r="H31" s="5">
        <f t="shared" si="1"/>
        <v>3.6357387383360482</v>
      </c>
      <c r="I31" s="5" t="e">
        <f t="shared" si="1"/>
        <v>#DIV/0!</v>
      </c>
      <c r="J31" s="5">
        <f t="shared" si="1"/>
        <v>2203.4786281013612</v>
      </c>
      <c r="K31" s="5">
        <f t="shared" si="1"/>
        <v>2201.731074063578</v>
      </c>
      <c r="L31" s="5">
        <f t="shared" si="1"/>
        <v>2238.7496151571791</v>
      </c>
      <c r="M31" s="5">
        <f t="shared" si="1"/>
        <v>2201.6087742174022</v>
      </c>
      <c r="N31" s="5">
        <f t="shared" si="1"/>
        <v>2201.7087152705003</v>
      </c>
      <c r="O31" s="5">
        <f t="shared" si="1"/>
        <v>2201.2461693176206</v>
      </c>
      <c r="P31" s="5">
        <f t="shared" si="1"/>
        <v>1847.0740681251229</v>
      </c>
      <c r="Q31" s="5" t="e">
        <f t="shared" si="1"/>
        <v>#DIV/0!</v>
      </c>
      <c r="R31" s="5">
        <f t="shared" si="1"/>
        <v>4312.9439790712186</v>
      </c>
      <c r="S31" s="5">
        <f t="shared" si="1"/>
        <v>4283.2820287218965</v>
      </c>
      <c r="T31" s="5">
        <f t="shared" si="1"/>
        <v>4232.702206692551</v>
      </c>
      <c r="U31" s="5">
        <f t="shared" si="1"/>
        <v>4154.765139263588</v>
      </c>
      <c r="V31" s="5">
        <f t="shared" si="1"/>
        <v>2882.5860665225487</v>
      </c>
      <c r="W31" s="5">
        <f t="shared" si="1"/>
        <v>3559.5775749935519</v>
      </c>
      <c r="X31" s="5">
        <f t="shared" si="1"/>
        <v>2392.7493527438237</v>
      </c>
      <c r="Y31" s="5" t="e">
        <f t="shared" si="1"/>
        <v>#DIV/0!</v>
      </c>
      <c r="Z31" s="5">
        <f t="shared" si="1"/>
        <v>4.0704706388320347E-3</v>
      </c>
      <c r="AA31" s="5">
        <f t="shared" si="1"/>
        <v>3.616790700793902E-3</v>
      </c>
      <c r="AB31" s="5">
        <f t="shared" si="1"/>
        <v>4.3910349606732495E-3</v>
      </c>
      <c r="AC31" s="5">
        <f t="shared" si="1"/>
        <v>2.9359843470697193E-3</v>
      </c>
      <c r="AD31" s="5">
        <f t="shared" si="1"/>
        <v>2.4311386240476636E-3</v>
      </c>
      <c r="AE31" s="5" t="e">
        <f t="shared" si="1"/>
        <v>#DIV/0!</v>
      </c>
      <c r="AF31" s="5">
        <f t="shared" si="1"/>
        <v>3.0799973100811397E-3</v>
      </c>
      <c r="AG31" s="5" t="e">
        <f t="shared" si="1"/>
        <v>#DIV/0!</v>
      </c>
      <c r="AH31" s="5">
        <f t="shared" si="1"/>
        <v>54861.483051057068</v>
      </c>
      <c r="AI31" s="5">
        <f t="shared" si="1"/>
        <v>49393.217402773291</v>
      </c>
      <c r="AJ31" s="5">
        <f t="shared" si="1"/>
        <v>37834.416325087295</v>
      </c>
      <c r="AK31" s="5">
        <f t="shared" si="1"/>
        <v>35480.726302762741</v>
      </c>
      <c r="AL31" s="5">
        <f t="shared" si="1"/>
        <v>49393.217402773291</v>
      </c>
      <c r="AM31" s="5">
        <f t="shared" si="1"/>
        <v>37834.416325087295</v>
      </c>
      <c r="AN31" s="5">
        <f t="shared" si="1"/>
        <v>35480.726302762741</v>
      </c>
      <c r="AO31" s="5" t="e">
        <f t="shared" si="1"/>
        <v>#DIV/0!</v>
      </c>
      <c r="AP31" s="5">
        <f t="shared" si="1"/>
        <v>1770.2481047026165</v>
      </c>
      <c r="AQ31" s="5">
        <f t="shared" si="1"/>
        <v>1565.8553055353625</v>
      </c>
      <c r="AR31" s="5">
        <f t="shared" si="1"/>
        <v>2375.0400492053627</v>
      </c>
      <c r="AS31" s="5">
        <f t="shared" si="1"/>
        <v>1161.6583587559587</v>
      </c>
      <c r="AT31" s="5">
        <f t="shared" si="1"/>
        <v>1507.7961244053488</v>
      </c>
      <c r="AU31" s="5">
        <f t="shared" si="1"/>
        <v>1896.0174871616189</v>
      </c>
      <c r="AV31" s="5">
        <f t="shared" si="1"/>
        <v>1388.6295931734051</v>
      </c>
      <c r="AW31" s="5">
        <f t="shared" si="1"/>
        <v>2906.5532561220534</v>
      </c>
      <c r="AX31" s="5">
        <f t="shared" si="1"/>
        <v>3338.1313920707621</v>
      </c>
      <c r="AY31" s="5">
        <f t="shared" si="1"/>
        <v>3909.8833013226931</v>
      </c>
      <c r="AZ31" s="5">
        <f t="shared" si="1"/>
        <v>3260.428623582819</v>
      </c>
      <c r="BA31" s="5">
        <f t="shared" si="1"/>
        <v>2502.6418061431</v>
      </c>
      <c r="BB31" s="5">
        <f t="shared" si="1"/>
        <v>2201.5400392163369</v>
      </c>
      <c r="BC31" s="5">
        <f t="shared" si="1"/>
        <v>2451.2298469144012</v>
      </c>
    </row>
    <row r="32" spans="1:55" x14ac:dyDescent="0.3">
      <c r="A32" t="s">
        <v>19</v>
      </c>
      <c r="B32" s="5">
        <f>B2+B4+B3</f>
        <v>2</v>
      </c>
      <c r="C32" s="5">
        <f t="shared" ref="C32:BC32" si="2">C2+C4+C3</f>
        <v>3</v>
      </c>
      <c r="D32" s="5">
        <f t="shared" si="2"/>
        <v>4</v>
      </c>
      <c r="E32" s="5">
        <f t="shared" si="2"/>
        <v>5</v>
      </c>
      <c r="F32" s="5">
        <f t="shared" si="2"/>
        <v>3</v>
      </c>
      <c r="G32" s="5">
        <f t="shared" si="2"/>
        <v>4</v>
      </c>
      <c r="H32" s="5">
        <f t="shared" si="2"/>
        <v>5</v>
      </c>
      <c r="I32" s="5">
        <f t="shared" si="2"/>
        <v>0</v>
      </c>
      <c r="J32" s="5">
        <f t="shared" si="2"/>
        <v>2</v>
      </c>
      <c r="K32" s="5">
        <f t="shared" si="2"/>
        <v>3</v>
      </c>
      <c r="L32" s="5">
        <f t="shared" si="2"/>
        <v>4</v>
      </c>
      <c r="M32" s="5">
        <f t="shared" si="2"/>
        <v>5</v>
      </c>
      <c r="N32" s="5">
        <f t="shared" si="2"/>
        <v>3</v>
      </c>
      <c r="O32" s="5">
        <f t="shared" si="2"/>
        <v>4</v>
      </c>
      <c r="P32" s="5">
        <f t="shared" si="2"/>
        <v>5</v>
      </c>
      <c r="Q32" s="5">
        <f t="shared" si="2"/>
        <v>0</v>
      </c>
      <c r="R32" s="5">
        <f t="shared" si="2"/>
        <v>2</v>
      </c>
      <c r="S32" s="5">
        <f t="shared" si="2"/>
        <v>3</v>
      </c>
      <c r="T32" s="5">
        <f t="shared" si="2"/>
        <v>4</v>
      </c>
      <c r="U32" s="5">
        <f t="shared" si="2"/>
        <v>5</v>
      </c>
      <c r="V32" s="5">
        <f t="shared" si="2"/>
        <v>3</v>
      </c>
      <c r="W32" s="5">
        <f t="shared" si="2"/>
        <v>4</v>
      </c>
      <c r="X32" s="5">
        <f t="shared" si="2"/>
        <v>5</v>
      </c>
      <c r="Y32" s="5">
        <f t="shared" si="2"/>
        <v>0</v>
      </c>
      <c r="Z32" s="5">
        <f t="shared" si="2"/>
        <v>2</v>
      </c>
      <c r="AA32" s="5">
        <f t="shared" si="2"/>
        <v>3</v>
      </c>
      <c r="AB32" s="5">
        <f t="shared" si="2"/>
        <v>4</v>
      </c>
      <c r="AC32" s="5">
        <f t="shared" si="2"/>
        <v>5</v>
      </c>
      <c r="AD32" s="5">
        <f t="shared" si="2"/>
        <v>3</v>
      </c>
      <c r="AE32" s="5">
        <f t="shared" si="2"/>
        <v>4</v>
      </c>
      <c r="AF32" s="5">
        <f t="shared" si="2"/>
        <v>5</v>
      </c>
      <c r="AG32" s="5">
        <f t="shared" si="2"/>
        <v>0</v>
      </c>
      <c r="AH32" s="5">
        <f t="shared" si="2"/>
        <v>2</v>
      </c>
      <c r="AI32" s="5">
        <f t="shared" si="2"/>
        <v>3</v>
      </c>
      <c r="AJ32" s="5">
        <f t="shared" si="2"/>
        <v>4</v>
      </c>
      <c r="AK32" s="5">
        <f t="shared" si="2"/>
        <v>5</v>
      </c>
      <c r="AL32" s="5">
        <f t="shared" si="2"/>
        <v>3</v>
      </c>
      <c r="AM32" s="5">
        <f t="shared" si="2"/>
        <v>4</v>
      </c>
      <c r="AN32" s="5">
        <f t="shared" si="2"/>
        <v>5</v>
      </c>
      <c r="AO32" s="5">
        <f t="shared" si="2"/>
        <v>0</v>
      </c>
      <c r="AP32" s="5">
        <f t="shared" si="2"/>
        <v>2</v>
      </c>
      <c r="AQ32" s="5">
        <f t="shared" si="2"/>
        <v>3</v>
      </c>
      <c r="AR32" s="5">
        <f t="shared" si="2"/>
        <v>4</v>
      </c>
      <c r="AS32" s="5">
        <f t="shared" si="2"/>
        <v>5</v>
      </c>
      <c r="AT32" s="5">
        <f t="shared" si="2"/>
        <v>3</v>
      </c>
      <c r="AU32" s="5">
        <f t="shared" si="2"/>
        <v>4</v>
      </c>
      <c r="AV32" s="5">
        <f t="shared" si="2"/>
        <v>5</v>
      </c>
      <c r="AW32" s="5">
        <f t="shared" si="2"/>
        <v>3</v>
      </c>
      <c r="AX32" s="5">
        <f t="shared" si="2"/>
        <v>4</v>
      </c>
      <c r="AY32" s="5">
        <f t="shared" si="2"/>
        <v>5</v>
      </c>
      <c r="AZ32" s="5">
        <f t="shared" si="2"/>
        <v>6</v>
      </c>
      <c r="BA32" s="5">
        <f t="shared" si="2"/>
        <v>4</v>
      </c>
      <c r="BB32" s="5">
        <f t="shared" si="2"/>
        <v>5</v>
      </c>
      <c r="BC32" s="5">
        <f t="shared" si="2"/>
        <v>6</v>
      </c>
    </row>
    <row r="33" spans="1:55" x14ac:dyDescent="0.3">
      <c r="A33" t="s">
        <v>24</v>
      </c>
      <c r="B33" s="5">
        <f>B30*LN(B31)+2*B32</f>
        <v>45.459887276101185</v>
      </c>
      <c r="C33" s="5">
        <f t="shared" ref="C33:BC33" si="3">C30*LN(C31)+2*C32</f>
        <v>43.356602147510273</v>
      </c>
      <c r="D33" s="5">
        <f t="shared" si="3"/>
        <v>44.581669037188576</v>
      </c>
      <c r="E33" s="5">
        <f t="shared" si="3"/>
        <v>46.45932804694111</v>
      </c>
      <c r="F33" s="5">
        <f t="shared" si="3"/>
        <v>46.780781086185414</v>
      </c>
      <c r="G33" s="5">
        <f t="shared" si="3"/>
        <v>43.057283149845745</v>
      </c>
      <c r="H33" s="5">
        <f t="shared" si="3"/>
        <v>40.979495670174373</v>
      </c>
      <c r="I33" s="5" t="e">
        <f t="shared" si="3"/>
        <v>#DIV/0!</v>
      </c>
      <c r="J33" s="5">
        <f t="shared" si="3"/>
        <v>188.74702204398307</v>
      </c>
      <c r="K33" s="5">
        <f t="shared" si="3"/>
        <v>190.72798036290882</v>
      </c>
      <c r="L33" s="5">
        <f t="shared" si="3"/>
        <v>193.12814675537959</v>
      </c>
      <c r="M33" s="5">
        <f t="shared" si="3"/>
        <v>194.72664719471825</v>
      </c>
      <c r="N33" s="5">
        <f t="shared" si="3"/>
        <v>190.72773663933836</v>
      </c>
      <c r="O33" s="5">
        <f t="shared" si="3"/>
        <v>192.72269406988173</v>
      </c>
      <c r="P33" s="5">
        <f t="shared" si="3"/>
        <v>190.51259394999056</v>
      </c>
      <c r="Q33" s="5" t="e">
        <f t="shared" si="3"/>
        <v>#DIV/0!</v>
      </c>
      <c r="R33" s="5">
        <f t="shared" si="3"/>
        <v>204.86502418501948</v>
      </c>
      <c r="S33" s="5">
        <f t="shared" si="3"/>
        <v>206.69939577247743</v>
      </c>
      <c r="T33" s="5">
        <f t="shared" si="3"/>
        <v>208.41430130314495</v>
      </c>
      <c r="U33" s="5">
        <f t="shared" si="3"/>
        <v>209.96826834029562</v>
      </c>
      <c r="V33" s="5">
        <f t="shared" si="3"/>
        <v>197.19463463971266</v>
      </c>
      <c r="W33" s="5">
        <f t="shared" si="3"/>
        <v>204.25753179430154</v>
      </c>
      <c r="X33" s="5">
        <f t="shared" si="3"/>
        <v>196.72476017364997</v>
      </c>
      <c r="Y33" s="5" t="e">
        <f t="shared" si="3"/>
        <v>#DIV/0!</v>
      </c>
      <c r="Z33" s="5">
        <f t="shared" si="3"/>
        <v>-128.09591960327126</v>
      </c>
      <c r="AA33" s="5">
        <f t="shared" si="3"/>
        <v>-128.93203663443495</v>
      </c>
      <c r="AB33" s="5">
        <f t="shared" si="3"/>
        <v>-122.27656781298413</v>
      </c>
      <c r="AC33" s="5">
        <f t="shared" si="3"/>
        <v>-129.93709999096649</v>
      </c>
      <c r="AD33" s="5">
        <f t="shared" si="3"/>
        <v>-138.46549348337228</v>
      </c>
      <c r="AE33" s="5" t="e">
        <f t="shared" si="3"/>
        <v>#DIV/0!</v>
      </c>
      <c r="AF33" s="5">
        <f t="shared" si="3"/>
        <v>-128.78783732833557</v>
      </c>
      <c r="AG33" s="5" t="e">
        <f t="shared" si="3"/>
        <v>#DIV/0!</v>
      </c>
      <c r="AH33" s="5">
        <f t="shared" si="3"/>
        <v>265.90160314007454</v>
      </c>
      <c r="AI33" s="5">
        <f t="shared" si="3"/>
        <v>265.38164146105362</v>
      </c>
      <c r="AJ33" s="5">
        <f t="shared" si="3"/>
        <v>260.9833868518038</v>
      </c>
      <c r="AK33" s="5">
        <f t="shared" si="3"/>
        <v>261.44187776750971</v>
      </c>
      <c r="AL33" s="5">
        <f t="shared" si="3"/>
        <v>265.38164146105362</v>
      </c>
      <c r="AM33" s="5">
        <f t="shared" si="3"/>
        <v>260.9833868518038</v>
      </c>
      <c r="AN33" s="5">
        <f t="shared" si="3"/>
        <v>261.44187776750971</v>
      </c>
      <c r="AO33" s="5" t="e">
        <f t="shared" si="3"/>
        <v>#DIV/0!</v>
      </c>
      <c r="AP33" s="5">
        <f t="shared" si="3"/>
        <v>183.49299970943315</v>
      </c>
      <c r="AQ33" s="5">
        <f t="shared" si="3"/>
        <v>182.54849939507616</v>
      </c>
      <c r="AR33" s="5">
        <f t="shared" si="3"/>
        <v>194.54646989959704</v>
      </c>
      <c r="AS33" s="5">
        <f t="shared" si="3"/>
        <v>179.38249318682574</v>
      </c>
      <c r="AT33" s="5">
        <f t="shared" si="3"/>
        <v>181.64170424185016</v>
      </c>
      <c r="AU33" s="5">
        <f t="shared" si="3"/>
        <v>189.14026174301461</v>
      </c>
      <c r="AV33" s="5">
        <f t="shared" si="3"/>
        <v>183.66574325463358</v>
      </c>
      <c r="AW33" s="5">
        <f t="shared" si="3"/>
        <v>189.41863383194388</v>
      </c>
      <c r="AX33" s="5">
        <f t="shared" si="3"/>
        <v>194.60282871709853</v>
      </c>
      <c r="AY33" s="5">
        <f t="shared" si="3"/>
        <v>200.23904454547443</v>
      </c>
      <c r="AZ33" s="5">
        <f t="shared" si="3"/>
        <v>198.06112074292801</v>
      </c>
      <c r="BA33" s="5">
        <f t="shared" si="3"/>
        <v>187.97735003363371</v>
      </c>
      <c r="BB33" s="5">
        <f t="shared" si="3"/>
        <v>187.02898548229783</v>
      </c>
      <c r="BC33" s="5">
        <f t="shared" si="3"/>
        <v>191.49993858621073</v>
      </c>
    </row>
    <row r="34" spans="1:55" x14ac:dyDescent="0.3">
      <c r="B34" s="5"/>
      <c r="C34" s="5"/>
      <c r="D34" s="5"/>
      <c r="E34" s="5"/>
      <c r="F34" s="5"/>
      <c r="G34" s="5"/>
      <c r="H34" s="5"/>
      <c r="R34" s="5"/>
      <c r="S34" s="5"/>
      <c r="T34" s="5"/>
      <c r="U34" s="5"/>
      <c r="V34" s="5"/>
      <c r="W34" s="5"/>
      <c r="X34" s="5"/>
    </row>
    <row r="35" spans="1:55" x14ac:dyDescent="0.3">
      <c r="B35" s="5"/>
      <c r="C35" s="5"/>
      <c r="D35" s="5"/>
      <c r="E35" s="5"/>
      <c r="F35" s="5"/>
      <c r="G35" s="5"/>
      <c r="H35" s="5"/>
      <c r="AV35">
        <f>MIN(AP33:BC33)</f>
        <v>179.38249318682574</v>
      </c>
    </row>
    <row r="36" spans="1:55" x14ac:dyDescent="0.3">
      <c r="B36" s="5"/>
      <c r="C36" s="5"/>
      <c r="D36" s="5"/>
      <c r="E36" s="5"/>
      <c r="F36" s="5"/>
      <c r="G36" s="5"/>
      <c r="H36" s="5"/>
    </row>
    <row r="37" spans="1:55" x14ac:dyDescent="0.3">
      <c r="B37" s="5"/>
      <c r="C37" s="5"/>
      <c r="D37" s="5"/>
      <c r="E37" s="5"/>
      <c r="F37" s="5"/>
      <c r="G37" s="5"/>
      <c r="H37" s="5"/>
    </row>
    <row r="38" spans="1:55" x14ac:dyDescent="0.3">
      <c r="B38" s="5"/>
      <c r="C38" s="5"/>
      <c r="D38" s="5"/>
      <c r="E38" s="5"/>
      <c r="F38" s="5"/>
      <c r="G38" s="5"/>
      <c r="H38" s="5"/>
    </row>
    <row r="39" spans="1:55" x14ac:dyDescent="0.3">
      <c r="B39" s="5"/>
      <c r="C39" s="5"/>
      <c r="D39" s="5"/>
      <c r="E39" s="5"/>
      <c r="F39" s="5"/>
      <c r="G39" s="5"/>
      <c r="H39" s="5"/>
    </row>
    <row r="40" spans="1:55" x14ac:dyDescent="0.3">
      <c r="B40" s="5"/>
      <c r="C40" s="5"/>
      <c r="D40" s="5"/>
      <c r="E40" s="5"/>
      <c r="F40" s="5"/>
      <c r="G40" s="5"/>
      <c r="H40" s="5"/>
    </row>
    <row r="41" spans="1:55" x14ac:dyDescent="0.3">
      <c r="B41" s="5"/>
      <c r="C41" s="5"/>
      <c r="D41" s="5"/>
      <c r="E41" s="5"/>
      <c r="F41" s="5"/>
      <c r="G41" s="5"/>
      <c r="H41" s="5"/>
    </row>
    <row r="42" spans="1:55" x14ac:dyDescent="0.3">
      <c r="B42" s="5"/>
      <c r="C42" s="5"/>
      <c r="D42" s="5"/>
      <c r="E42" s="5"/>
      <c r="F42" s="5"/>
      <c r="G42" s="5"/>
      <c r="H42" s="5"/>
    </row>
    <row r="43" spans="1:55" x14ac:dyDescent="0.3">
      <c r="B43" s="5"/>
      <c r="C43" s="5"/>
      <c r="D43" s="5"/>
      <c r="E43" s="5"/>
      <c r="F43" s="5"/>
      <c r="G43" s="5"/>
      <c r="H43" s="5"/>
    </row>
    <row r="44" spans="1:55" x14ac:dyDescent="0.3">
      <c r="B44" s="5"/>
      <c r="C44" s="5"/>
      <c r="D44" s="5"/>
      <c r="E44" s="5"/>
      <c r="F44" s="5"/>
      <c r="G44" s="5"/>
      <c r="H44" s="5"/>
    </row>
    <row r="45" spans="1:55" x14ac:dyDescent="0.3">
      <c r="B45" s="5"/>
      <c r="C45" s="5"/>
      <c r="D45" s="5"/>
      <c r="E45" s="5"/>
      <c r="F45" s="5"/>
      <c r="G45" s="5"/>
      <c r="H45" s="5"/>
    </row>
    <row r="46" spans="1:55" x14ac:dyDescent="0.3">
      <c r="B46" s="5"/>
      <c r="C46" s="5"/>
      <c r="D46" s="5"/>
      <c r="E46" s="5"/>
      <c r="F46" s="5"/>
      <c r="G46" s="5"/>
      <c r="H46" s="5"/>
    </row>
    <row r="47" spans="1:55" x14ac:dyDescent="0.3">
      <c r="B47" s="5"/>
      <c r="C47" s="5"/>
      <c r="D47" s="5"/>
      <c r="E47" s="5"/>
      <c r="F47" s="5"/>
      <c r="G47" s="5"/>
      <c r="H47" s="5"/>
    </row>
    <row r="48" spans="1:55" x14ac:dyDescent="0.3">
      <c r="B48" s="5"/>
      <c r="C48" s="5"/>
      <c r="D48" s="5"/>
      <c r="E48" s="5"/>
      <c r="F48" s="5"/>
      <c r="G48" s="5"/>
      <c r="H48" s="5"/>
    </row>
    <row r="49" spans="2:8" x14ac:dyDescent="0.3">
      <c r="B49" s="5"/>
      <c r="C49" s="5"/>
      <c r="D49" s="5"/>
      <c r="E49" s="5"/>
      <c r="F49" s="5"/>
      <c r="G49" s="5"/>
      <c r="H49" s="5"/>
    </row>
    <row r="50" spans="2:8" x14ac:dyDescent="0.3">
      <c r="B50" s="5"/>
      <c r="C50" s="5"/>
      <c r="D50" s="5"/>
      <c r="E50" s="5"/>
      <c r="F50" s="5"/>
      <c r="G50" s="5"/>
      <c r="H50" s="5"/>
    </row>
    <row r="51" spans="2:8" x14ac:dyDescent="0.3">
      <c r="B51" s="5"/>
      <c r="C51" s="5"/>
      <c r="D51" s="5"/>
      <c r="E51" s="5"/>
      <c r="F51" s="5"/>
      <c r="G51" s="5"/>
      <c r="H51" s="5"/>
    </row>
    <row r="52" spans="2:8" x14ac:dyDescent="0.3">
      <c r="B52" s="5"/>
      <c r="C52" s="5"/>
      <c r="D52" s="5"/>
      <c r="E52" s="5"/>
      <c r="F52" s="5"/>
      <c r="G52" s="5"/>
      <c r="H52" s="5"/>
    </row>
    <row r="53" spans="2:8" x14ac:dyDescent="0.3">
      <c r="B53" s="5"/>
      <c r="C53" s="5"/>
      <c r="D53" s="5"/>
      <c r="E53" s="5"/>
      <c r="F53" s="5"/>
      <c r="G53" s="5"/>
      <c r="H53" s="5"/>
    </row>
    <row r="54" spans="2:8" x14ac:dyDescent="0.3">
      <c r="B54" s="5"/>
      <c r="C54" s="5"/>
      <c r="D54" s="5"/>
      <c r="E54" s="5"/>
      <c r="F54" s="5"/>
      <c r="G54" s="5"/>
      <c r="H54" s="5"/>
    </row>
    <row r="55" spans="2:8" x14ac:dyDescent="0.3">
      <c r="B55" s="5"/>
      <c r="C55" s="5"/>
      <c r="D55" s="5"/>
      <c r="E55" s="5"/>
      <c r="F55" s="5"/>
      <c r="G55" s="5"/>
      <c r="H55" s="5"/>
    </row>
    <row r="56" spans="2:8" x14ac:dyDescent="0.3">
      <c r="B56" s="5"/>
      <c r="C56" s="5"/>
      <c r="D56" s="5"/>
      <c r="E56" s="5"/>
      <c r="F56" s="5"/>
      <c r="G56" s="5"/>
      <c r="H56" s="5"/>
    </row>
    <row r="57" spans="2:8" x14ac:dyDescent="0.3">
      <c r="B57" s="5"/>
      <c r="C57" s="5"/>
      <c r="D57" s="5"/>
      <c r="E57" s="5"/>
      <c r="F57" s="5"/>
      <c r="G57" s="5"/>
      <c r="H57" s="5"/>
    </row>
    <row r="58" spans="2:8" x14ac:dyDescent="0.3">
      <c r="B58" s="5"/>
      <c r="C58" s="5"/>
      <c r="D58" s="5"/>
      <c r="E58" s="5"/>
      <c r="F58" s="5"/>
      <c r="G58" s="5"/>
      <c r="H5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4:BX70"/>
  <sheetViews>
    <sheetView tabSelected="1" workbookViewId="0">
      <selection activeCell="BQ20" sqref="BQ20"/>
    </sheetView>
  </sheetViews>
  <sheetFormatPr defaultRowHeight="14.4" x14ac:dyDescent="0.3"/>
  <cols>
    <col min="25" max="25" width="8.88671875" style="3"/>
    <col min="26" max="29" width="8.88671875" style="4"/>
    <col min="34" max="34" width="8.88671875" style="3"/>
    <col min="35" max="38" width="8.88671875" style="4"/>
    <col min="43" max="43" width="8.88671875" style="3"/>
    <col min="44" max="53" width="8.88671875" style="4"/>
    <col min="58" max="58" width="8.88671875" style="3"/>
    <col min="62" max="62" width="8.88671875" style="3"/>
  </cols>
  <sheetData>
    <row r="4" spans="1:76" x14ac:dyDescent="0.3">
      <c r="AD4" t="s">
        <v>8</v>
      </c>
      <c r="AM4" t="s">
        <v>9</v>
      </c>
      <c r="BB4" t="s">
        <v>3</v>
      </c>
      <c r="BG4" t="s">
        <v>10</v>
      </c>
      <c r="BL4" t="s">
        <v>11</v>
      </c>
    </row>
    <row r="5" spans="1:76" x14ac:dyDescent="0.3">
      <c r="O5" t="s">
        <v>0</v>
      </c>
      <c r="Z5" s="4" t="s">
        <v>14</v>
      </c>
      <c r="AI5" s="4" t="s">
        <v>14</v>
      </c>
      <c r="BQ5" t="s">
        <v>13</v>
      </c>
    </row>
    <row r="6" spans="1:76" x14ac:dyDescent="0.3">
      <c r="B6" t="s">
        <v>13</v>
      </c>
      <c r="O6" t="s">
        <v>6</v>
      </c>
      <c r="U6" t="s">
        <v>7</v>
      </c>
      <c r="BL6" t="s">
        <v>12</v>
      </c>
    </row>
    <row r="7" spans="1:76" x14ac:dyDescent="0.3">
      <c r="A7">
        <v>1</v>
      </c>
      <c r="B7">
        <v>-102.33799560589399</v>
      </c>
      <c r="C7">
        <v>34.001996815520599</v>
      </c>
      <c r="F7">
        <f>C7+D7</f>
        <v>34.001996815520599</v>
      </c>
      <c r="H7">
        <v>-100.61325637068001</v>
      </c>
      <c r="I7">
        <v>37.435186216506203</v>
      </c>
      <c r="J7">
        <v>201.81807015417399</v>
      </c>
      <c r="N7">
        <v>-102.33799560589399</v>
      </c>
      <c r="O7">
        <v>34.001996815520599</v>
      </c>
      <c r="P7">
        <v>-15.358196818768899</v>
      </c>
      <c r="Q7">
        <v>222.334195609142</v>
      </c>
      <c r="T7">
        <v>-102.33799560589399</v>
      </c>
      <c r="U7">
        <v>34.001996815520599</v>
      </c>
      <c r="V7">
        <v>-15.358196818768899</v>
      </c>
      <c r="W7">
        <v>-12.013738166588499</v>
      </c>
      <c r="X7">
        <v>234.34793377573101</v>
      </c>
      <c r="Z7" s="4">
        <v>-86.417843323049198</v>
      </c>
      <c r="AA7" s="4">
        <v>0.63028796399168596</v>
      </c>
      <c r="AB7" s="4">
        <v>158.897555359058</v>
      </c>
      <c r="AD7">
        <v>-86.417843323049198</v>
      </c>
      <c r="AE7">
        <v>0.63028796399168596</v>
      </c>
      <c r="AF7">
        <v>13.018384723118499</v>
      </c>
      <c r="AG7">
        <v>145.879170635939</v>
      </c>
      <c r="AI7" s="4">
        <v>-11.1463881438649</v>
      </c>
      <c r="AJ7" s="4">
        <v>23.080323621537801</v>
      </c>
      <c r="AK7" s="4">
        <v>249.066064522327</v>
      </c>
      <c r="AM7">
        <v>-11.1463881438649</v>
      </c>
      <c r="AN7">
        <v>23.080323621537801</v>
      </c>
      <c r="AO7">
        <v>1.85131727665298</v>
      </c>
      <c r="AP7">
        <v>247.214747245674</v>
      </c>
      <c r="AR7" s="4">
        <v>-107.280648445388</v>
      </c>
      <c r="AS7" s="4">
        <v>12.3419400647135</v>
      </c>
      <c r="AT7" s="4">
        <v>328.868708380675</v>
      </c>
      <c r="AU7" s="4">
        <f>AT7+AS7</f>
        <v>341.21064844538853</v>
      </c>
      <c r="AW7" s="4">
        <v>-107.280648445388</v>
      </c>
      <c r="AX7" s="4">
        <v>12.3419400647135</v>
      </c>
      <c r="AY7" s="4">
        <v>328.868708380675</v>
      </c>
      <c r="AZ7" s="4">
        <f>AY7+AX7</f>
        <v>341.21064844538853</v>
      </c>
      <c r="BB7">
        <v>-107.280648445388</v>
      </c>
      <c r="BC7">
        <v>12.3419400647135</v>
      </c>
      <c r="BD7">
        <v>31.820249707235099</v>
      </c>
      <c r="BE7">
        <v>297.04845867344</v>
      </c>
      <c r="BG7">
        <v>-288.34248363209201</v>
      </c>
      <c r="BH7">
        <v>-12.679779840118201</v>
      </c>
      <c r="BI7">
        <v>1668.6222634722101</v>
      </c>
      <c r="BK7">
        <f>BH7+BI7</f>
        <v>1655.9424836320918</v>
      </c>
      <c r="BL7">
        <v>-145.59041241314199</v>
      </c>
      <c r="BM7">
        <v>-0.55772822396293997</v>
      </c>
      <c r="BN7">
        <v>-63.298357587131399</v>
      </c>
      <c r="BO7">
        <v>1209.99649822424</v>
      </c>
      <c r="BQ7">
        <v>-145.59041241314199</v>
      </c>
      <c r="BR7">
        <v>-0.55772822396293997</v>
      </c>
      <c r="BS7">
        <v>1146.6981406371001</v>
      </c>
      <c r="BT7">
        <f>BS7+BR7</f>
        <v>1146.1404124131373</v>
      </c>
      <c r="BV7">
        <v>-145.59041241314199</v>
      </c>
      <c r="BW7">
        <v>-0.55772822396293997</v>
      </c>
      <c r="BX7">
        <v>1146.6981406371001</v>
      </c>
    </row>
    <row r="8" spans="1:76" x14ac:dyDescent="0.3">
      <c r="A8">
        <f>A7+1</f>
        <v>2</v>
      </c>
      <c r="B8">
        <v>97.344924048003904</v>
      </c>
      <c r="C8">
        <v>47.050266362544001</v>
      </c>
      <c r="F8">
        <f t="shared" ref="F8:F36" si="0">C8+D8</f>
        <v>47.050266362544001</v>
      </c>
      <c r="H8">
        <v>106.663733196663</v>
      </c>
      <c r="I8">
        <v>40.794631453669297</v>
      </c>
      <c r="J8">
        <v>204.251635349667</v>
      </c>
      <c r="N8">
        <v>97.344924048003904</v>
      </c>
      <c r="O8">
        <v>47.050266362544001</v>
      </c>
      <c r="P8">
        <v>-16.185180658156899</v>
      </c>
      <c r="Q8">
        <v>223.49999024760899</v>
      </c>
      <c r="T8">
        <v>97.344924048003904</v>
      </c>
      <c r="U8">
        <v>47.050266362544001</v>
      </c>
      <c r="V8">
        <v>-16.185180658156899</v>
      </c>
      <c r="W8">
        <v>-10.766535485641199</v>
      </c>
      <c r="X8">
        <v>234.26652573325001</v>
      </c>
      <c r="Z8" s="4">
        <v>82.5035751247934</v>
      </c>
      <c r="AA8" s="4">
        <v>13.921137840609999</v>
      </c>
      <c r="AB8" s="4">
        <v>154.67528703459701</v>
      </c>
      <c r="AD8">
        <v>82.5035751247934</v>
      </c>
      <c r="AE8">
        <v>13.921137840609999</v>
      </c>
      <c r="AF8">
        <v>9.76894881450424</v>
      </c>
      <c r="AG8">
        <v>144.90633822009201</v>
      </c>
      <c r="AI8" s="4">
        <v>-78.543975064787801</v>
      </c>
      <c r="AJ8" s="4">
        <v>25.3891828140911</v>
      </c>
      <c r="AK8" s="4">
        <v>248.48479225069701</v>
      </c>
      <c r="AM8">
        <v>-78.543975064787801</v>
      </c>
      <c r="AN8">
        <v>25.3891828140911</v>
      </c>
      <c r="AO8">
        <v>0.27707110482227298</v>
      </c>
      <c r="AP8">
        <v>248.20772114587399</v>
      </c>
      <c r="AR8" s="4">
        <v>87.669884995264397</v>
      </c>
      <c r="AS8" s="4">
        <v>36.726140734168702</v>
      </c>
      <c r="AT8" s="4">
        <v>311.29397427056699</v>
      </c>
      <c r="AU8" s="4">
        <f t="shared" ref="AU8:AU36" si="1">AT8+AS8</f>
        <v>348.02011500473571</v>
      </c>
      <c r="AW8" s="4">
        <v>87.669884995264397</v>
      </c>
      <c r="AX8" s="4">
        <v>36.726140734168702</v>
      </c>
      <c r="AY8" s="4">
        <v>311.29397427056699</v>
      </c>
      <c r="AZ8" s="4">
        <f t="shared" ref="AZ8:AZ36" si="2">AY8+AX8</f>
        <v>348.02011500473571</v>
      </c>
      <c r="BB8">
        <v>87.669884995264397</v>
      </c>
      <c r="BC8">
        <v>36.726140734168702</v>
      </c>
      <c r="BD8">
        <v>13.7752315120948</v>
      </c>
      <c r="BE8">
        <v>297.518742758472</v>
      </c>
      <c r="BG8">
        <v>-208.103348025598</v>
      </c>
      <c r="BH8">
        <v>7.0418291568713602</v>
      </c>
      <c r="BI8">
        <v>1674.06151886873</v>
      </c>
      <c r="BK8">
        <f t="shared" ref="BK8:BK36" si="3">BH8+BI8</f>
        <v>1681.1033480256015</v>
      </c>
      <c r="BL8">
        <v>-93.7886959257565</v>
      </c>
      <c r="BM8">
        <v>6.6798570501273096</v>
      </c>
      <c r="BN8">
        <v>-49.443287678805298</v>
      </c>
      <c r="BO8">
        <v>1228.6821265544299</v>
      </c>
      <c r="BQ8">
        <v>-93.7886959257565</v>
      </c>
      <c r="BR8">
        <v>6.6798570501273096</v>
      </c>
      <c r="BS8">
        <v>1179.2388388756301</v>
      </c>
      <c r="BT8">
        <f t="shared" ref="BT8:BT36" si="4">BS8+BR8</f>
        <v>1185.9186959257574</v>
      </c>
      <c r="BV8">
        <v>-93.7886959257565</v>
      </c>
      <c r="BW8">
        <v>6.6798570501273096</v>
      </c>
      <c r="BX8">
        <v>1179.2388388756301</v>
      </c>
    </row>
    <row r="9" spans="1:76" x14ac:dyDescent="0.3">
      <c r="A9">
        <f t="shared" ref="A9:A36" si="5">A8+1</f>
        <v>3</v>
      </c>
      <c r="B9">
        <v>-78.091738364485295</v>
      </c>
      <c r="C9">
        <v>13.0096721263891</v>
      </c>
      <c r="F9">
        <f t="shared" si="0"/>
        <v>13.0096721263891</v>
      </c>
      <c r="H9">
        <v>-78.881340709777703</v>
      </c>
      <c r="I9">
        <v>14.7618438233179</v>
      </c>
      <c r="J9">
        <v>208.90949688646</v>
      </c>
      <c r="N9">
        <v>-78.091738364485295</v>
      </c>
      <c r="O9">
        <v>13.0096721263891</v>
      </c>
      <c r="P9">
        <v>-14.9415113056336</v>
      </c>
      <c r="Q9">
        <v>224.81357754372999</v>
      </c>
      <c r="T9">
        <v>-78.091738364485295</v>
      </c>
      <c r="U9">
        <v>13.0096721263891</v>
      </c>
      <c r="V9">
        <v>-14.9415113056336</v>
      </c>
      <c r="W9">
        <v>-9.2163859954880891</v>
      </c>
      <c r="X9">
        <v>234.02996353921799</v>
      </c>
      <c r="Z9" s="4">
        <v>-63.625533123853103</v>
      </c>
      <c r="AA9" s="4">
        <v>-10.299873305301601</v>
      </c>
      <c r="AB9" s="4">
        <v>147.465406429155</v>
      </c>
      <c r="AD9">
        <v>-63.625533123853103</v>
      </c>
      <c r="AE9">
        <v>-10.299873305301601</v>
      </c>
      <c r="AF9">
        <v>3.662354713554</v>
      </c>
      <c r="AG9">
        <v>143.80305171560099</v>
      </c>
      <c r="AI9" s="4">
        <v>-26.903130336486999</v>
      </c>
      <c r="AJ9" s="4">
        <v>18.8361403271984</v>
      </c>
      <c r="AK9" s="4">
        <v>247.646990009289</v>
      </c>
      <c r="AM9">
        <v>-26.903130336486999</v>
      </c>
      <c r="AN9">
        <v>18.8361403271984</v>
      </c>
      <c r="AO9">
        <v>-1.40729564672463</v>
      </c>
      <c r="AP9">
        <v>249.05428565601301</v>
      </c>
      <c r="AR9" s="4">
        <v>-61.567471567833501</v>
      </c>
      <c r="AS9" s="4">
        <v>-2.3554766828374198</v>
      </c>
      <c r="AT9" s="4">
        <v>295.88294825067101</v>
      </c>
      <c r="AU9" s="4">
        <f t="shared" si="1"/>
        <v>293.52747156783357</v>
      </c>
      <c r="AW9" s="4">
        <v>-61.567471567833501</v>
      </c>
      <c r="AX9" s="4">
        <v>-2.3554766828374198</v>
      </c>
      <c r="AY9" s="4">
        <v>295.88294825067101</v>
      </c>
      <c r="AZ9" s="4">
        <f t="shared" si="2"/>
        <v>293.52747156783357</v>
      </c>
      <c r="BB9">
        <v>-61.567471567833501</v>
      </c>
      <c r="BC9">
        <v>-2.3554766828374198</v>
      </c>
      <c r="BD9">
        <v>-2.2121682795179001</v>
      </c>
      <c r="BE9">
        <v>298.09511653018899</v>
      </c>
      <c r="BG9">
        <v>279.96846742021302</v>
      </c>
      <c r="BH9">
        <v>19.9337816885912</v>
      </c>
      <c r="BI9">
        <v>1681.2977508911999</v>
      </c>
      <c r="BK9">
        <f t="shared" si="3"/>
        <v>1701.2315325797911</v>
      </c>
      <c r="BL9">
        <v>45.645365665349402</v>
      </c>
      <c r="BM9">
        <v>4.9983941004529902</v>
      </c>
      <c r="BN9">
        <v>-31.632871013750599</v>
      </c>
      <c r="BO9">
        <v>1246.9991112479499</v>
      </c>
      <c r="BQ9">
        <v>45.645365665349402</v>
      </c>
      <c r="BR9">
        <v>4.9983941004529902</v>
      </c>
      <c r="BS9">
        <v>1215.3662402341999</v>
      </c>
      <c r="BT9">
        <f t="shared" si="4"/>
        <v>1220.3646343346529</v>
      </c>
      <c r="BV9">
        <v>45.645365665349402</v>
      </c>
      <c r="BW9">
        <v>4.9983941004529902</v>
      </c>
      <c r="BX9">
        <v>1215.3662402341999</v>
      </c>
    </row>
    <row r="10" spans="1:76" x14ac:dyDescent="0.3">
      <c r="A10">
        <f t="shared" si="5"/>
        <v>4</v>
      </c>
      <c r="B10">
        <v>42.540589265997099</v>
      </c>
      <c r="C10">
        <v>-19.715759320878298</v>
      </c>
      <c r="F10">
        <f t="shared" si="0"/>
        <v>-19.715759320878298</v>
      </c>
      <c r="H10">
        <v>37.822691239527899</v>
      </c>
      <c r="I10">
        <v>-14.4278020334161</v>
      </c>
      <c r="J10">
        <v>215.28511079388801</v>
      </c>
      <c r="N10">
        <v>42.540589265997099</v>
      </c>
      <c r="O10">
        <v>-19.715759320878298</v>
      </c>
      <c r="P10">
        <v>-10.411268198754399</v>
      </c>
      <c r="Q10">
        <v>226.26643825363601</v>
      </c>
      <c r="T10">
        <v>42.540589265997099</v>
      </c>
      <c r="U10">
        <v>-19.715759320878298</v>
      </c>
      <c r="V10">
        <v>-10.411268198754399</v>
      </c>
      <c r="W10">
        <v>-7.3833018401133899</v>
      </c>
      <c r="X10">
        <v>233.64974009374899</v>
      </c>
      <c r="Z10" s="4">
        <v>31.682974025773898</v>
      </c>
      <c r="AA10" s="4">
        <v>-12.8496030509022</v>
      </c>
      <c r="AB10" s="4">
        <v>138.486629025128</v>
      </c>
      <c r="AD10">
        <v>31.682974025773898</v>
      </c>
      <c r="AE10">
        <v>-12.8496030509022</v>
      </c>
      <c r="AF10">
        <v>-4.1179035489777203</v>
      </c>
      <c r="AG10">
        <v>142.604532574106</v>
      </c>
      <c r="AI10" s="4">
        <v>88.239059877410995</v>
      </c>
      <c r="AJ10" s="4">
        <v>5.37453317596019</v>
      </c>
      <c r="AK10" s="4">
        <v>246.506406946629</v>
      </c>
      <c r="AM10">
        <v>88.239059877410995</v>
      </c>
      <c r="AN10">
        <v>5.37453317596019</v>
      </c>
      <c r="AO10">
        <v>-3.23515693524778</v>
      </c>
      <c r="AP10">
        <v>249.741563881877</v>
      </c>
      <c r="AR10" s="4">
        <v>34.130627010876204</v>
      </c>
      <c r="AS10" s="4">
        <v>-43.442575134814099</v>
      </c>
      <c r="AT10" s="4">
        <v>283.78194812393798</v>
      </c>
      <c r="AU10" s="4">
        <f t="shared" si="1"/>
        <v>240.33937298912389</v>
      </c>
      <c r="AW10" s="4">
        <v>34.130627010876204</v>
      </c>
      <c r="AX10" s="4">
        <v>-43.442575134814099</v>
      </c>
      <c r="AY10" s="4">
        <v>283.78194812393798</v>
      </c>
      <c r="AZ10" s="4">
        <f t="shared" si="2"/>
        <v>240.33937298912389</v>
      </c>
      <c r="BB10">
        <v>34.130627010876204</v>
      </c>
      <c r="BC10">
        <v>-43.442575134814099</v>
      </c>
      <c r="BD10">
        <v>-14.9892062135491</v>
      </c>
      <c r="BE10">
        <v>298.77115433748702</v>
      </c>
      <c r="BG10">
        <v>206.023118898158</v>
      </c>
      <c r="BH10">
        <v>25.861624334357099</v>
      </c>
      <c r="BI10">
        <v>1689.71525676748</v>
      </c>
      <c r="BK10">
        <f t="shared" si="3"/>
        <v>1715.5768811018372</v>
      </c>
      <c r="BL10">
        <v>-79.094654722870999</v>
      </c>
      <c r="BM10">
        <v>-8.0329423189728608</v>
      </c>
      <c r="BN10">
        <v>-10.3679014830662</v>
      </c>
      <c r="BO10">
        <v>1264.4454985249099</v>
      </c>
      <c r="BQ10">
        <v>-79.094654722870999</v>
      </c>
      <c r="BR10">
        <v>-8.0329423189728608</v>
      </c>
      <c r="BS10">
        <v>1254.0775970418399</v>
      </c>
      <c r="BT10">
        <f t="shared" si="4"/>
        <v>1246.0446547228671</v>
      </c>
      <c r="BV10">
        <v>-79.094654722870999</v>
      </c>
      <c r="BW10">
        <v>-8.0329423189728608</v>
      </c>
      <c r="BX10">
        <v>1254.0775970418399</v>
      </c>
    </row>
    <row r="11" spans="1:76" x14ac:dyDescent="0.3">
      <c r="A11">
        <f t="shared" si="5"/>
        <v>5</v>
      </c>
      <c r="B11">
        <v>-19.1542597095793</v>
      </c>
      <c r="C11">
        <v>-31.2778403506804</v>
      </c>
      <c r="F11">
        <f t="shared" si="0"/>
        <v>-31.2778403506804</v>
      </c>
      <c r="H11">
        <v>-13.535013820664499</v>
      </c>
      <c r="I11">
        <v>-35.724432775452698</v>
      </c>
      <c r="J11">
        <v>222.679446596117</v>
      </c>
      <c r="N11">
        <v>-19.1542597095793</v>
      </c>
      <c r="O11">
        <v>-31.2778403506804</v>
      </c>
      <c r="P11">
        <v>-3.95150691837785</v>
      </c>
      <c r="Q11">
        <v>227.80360697863799</v>
      </c>
      <c r="T11">
        <v>-19.1542597095793</v>
      </c>
      <c r="U11">
        <v>-31.2778403506804</v>
      </c>
      <c r="V11">
        <v>-3.95150691837785</v>
      </c>
      <c r="W11">
        <v>-5.33374131832079</v>
      </c>
      <c r="X11">
        <v>233.13734829695801</v>
      </c>
      <c r="Z11" s="4">
        <v>-15.5784957801192</v>
      </c>
      <c r="AA11" s="4">
        <v>13.962760178438</v>
      </c>
      <c r="AB11" s="4">
        <v>130.19573560168101</v>
      </c>
      <c r="AD11">
        <v>-15.5784957801192</v>
      </c>
      <c r="AE11">
        <v>13.962760178438</v>
      </c>
      <c r="AF11">
        <v>-11.1502666455692</v>
      </c>
      <c r="AG11">
        <v>141.34600224725</v>
      </c>
      <c r="AI11" s="4">
        <v>4.6843010680802699</v>
      </c>
      <c r="AJ11" s="4">
        <v>-11.0830722469672</v>
      </c>
      <c r="AK11" s="4">
        <v>245.01877117888699</v>
      </c>
      <c r="AM11">
        <v>4.6843010680802699</v>
      </c>
      <c r="AN11">
        <v>-11.0830722469672</v>
      </c>
      <c r="AO11">
        <v>-5.2379077503636298</v>
      </c>
      <c r="AP11">
        <v>250.256678929251</v>
      </c>
      <c r="AR11" s="4">
        <v>-35.475717110783698</v>
      </c>
      <c r="AS11" s="4">
        <v>-24.948822844566401</v>
      </c>
      <c r="AT11" s="4">
        <v>275.48453995534999</v>
      </c>
      <c r="AU11" s="4">
        <f t="shared" si="1"/>
        <v>250.53571711078359</v>
      </c>
      <c r="AW11" s="4">
        <v>-35.475717110783698</v>
      </c>
      <c r="AX11" s="4">
        <v>-24.948822844566401</v>
      </c>
      <c r="AY11" s="4">
        <v>275.48453995534999</v>
      </c>
      <c r="AZ11" s="4">
        <f t="shared" si="2"/>
        <v>250.53571711078359</v>
      </c>
      <c r="BB11">
        <v>-35.475717110783698</v>
      </c>
      <c r="BC11">
        <v>-24.948822844566401</v>
      </c>
      <c r="BD11">
        <v>-24.055890573914201</v>
      </c>
      <c r="BE11">
        <v>299.54043052926397</v>
      </c>
      <c r="BG11">
        <v>-282.67882714773998</v>
      </c>
      <c r="BH11">
        <v>26.580493422279702</v>
      </c>
      <c r="BI11">
        <v>1698.6983337254601</v>
      </c>
      <c r="BK11">
        <f t="shared" si="3"/>
        <v>1725.2788271477398</v>
      </c>
      <c r="BL11">
        <v>-113.258845840959</v>
      </c>
      <c r="BM11">
        <v>-30.752388465293102</v>
      </c>
      <c r="BN11">
        <v>11.9318997007994</v>
      </c>
      <c r="BO11">
        <v>1280.51933460545</v>
      </c>
      <c r="BQ11">
        <v>-113.258845840959</v>
      </c>
      <c r="BR11">
        <v>-30.752388465293102</v>
      </c>
      <c r="BS11">
        <v>1292.4512343062499</v>
      </c>
      <c r="BT11">
        <f t="shared" si="4"/>
        <v>1261.6988458409569</v>
      </c>
      <c r="BV11">
        <v>-113.258845840959</v>
      </c>
      <c r="BW11">
        <v>-30.752388465293102</v>
      </c>
      <c r="BX11">
        <v>1292.4512343062499</v>
      </c>
    </row>
    <row r="12" spans="1:76" x14ac:dyDescent="0.3">
      <c r="A12">
        <f t="shared" si="5"/>
        <v>6</v>
      </c>
      <c r="B12">
        <v>18.7723340737497</v>
      </c>
      <c r="C12">
        <v>-55.463169348434</v>
      </c>
      <c r="F12">
        <f t="shared" si="0"/>
        <v>-55.463169348434</v>
      </c>
      <c r="H12">
        <v>18.126286708471198</v>
      </c>
      <c r="I12">
        <v>-52.759760525782497</v>
      </c>
      <c r="J12">
        <v>230.39347381731099</v>
      </c>
      <c r="N12">
        <v>18.7723340737497</v>
      </c>
      <c r="O12">
        <v>-55.463169348434</v>
      </c>
      <c r="P12">
        <v>3.08071695463719</v>
      </c>
      <c r="Q12">
        <v>229.370118320047</v>
      </c>
      <c r="T12">
        <v>18.7723340737497</v>
      </c>
      <c r="U12">
        <v>-55.463169348434</v>
      </c>
      <c r="V12">
        <v>3.08071695463719</v>
      </c>
      <c r="W12">
        <v>-3.1341627289137999</v>
      </c>
      <c r="X12">
        <v>232.50428104896099</v>
      </c>
      <c r="Z12" s="4">
        <v>22.3959345595947</v>
      </c>
      <c r="AA12" s="4">
        <v>-6.8864165767032901</v>
      </c>
      <c r="AB12" s="4">
        <v>125.040482017109</v>
      </c>
      <c r="AD12">
        <v>22.3959345595947</v>
      </c>
      <c r="AE12">
        <v>-6.8864165767032901</v>
      </c>
      <c r="AF12">
        <v>-15.0222001695673</v>
      </c>
      <c r="AG12">
        <v>140.062682186676</v>
      </c>
      <c r="AI12" s="4">
        <v>-49.766177021838502</v>
      </c>
      <c r="AJ12" s="4">
        <v>-24.333633800393901</v>
      </c>
      <c r="AK12" s="4">
        <v>243.13981082223199</v>
      </c>
      <c r="AM12">
        <v>-49.766177021838502</v>
      </c>
      <c r="AN12">
        <v>-24.333633800393901</v>
      </c>
      <c r="AO12">
        <v>-7.4469430816887403</v>
      </c>
      <c r="AP12">
        <v>250.58675390392099</v>
      </c>
      <c r="AR12" s="4">
        <v>55.422746444670402</v>
      </c>
      <c r="AS12" s="4">
        <v>17.7096172532063</v>
      </c>
      <c r="AT12" s="4">
        <v>270.60763630212301</v>
      </c>
      <c r="AU12" s="4">
        <f t="shared" si="1"/>
        <v>288.31725355532933</v>
      </c>
      <c r="AW12" s="4">
        <v>55.422746444670402</v>
      </c>
      <c r="AX12" s="4">
        <v>17.7096172532063</v>
      </c>
      <c r="AY12" s="4">
        <v>270.60763630212301</v>
      </c>
      <c r="AZ12" s="4">
        <f t="shared" si="2"/>
        <v>288.31725355532933</v>
      </c>
      <c r="BB12">
        <v>55.422746444670402</v>
      </c>
      <c r="BC12">
        <v>17.7096172532063</v>
      </c>
      <c r="BD12">
        <v>-29.788883152294201</v>
      </c>
      <c r="BE12">
        <v>300.39651945441699</v>
      </c>
      <c r="BG12">
        <v>284.51488721023401</v>
      </c>
      <c r="BH12">
        <v>16.6730607054355</v>
      </c>
      <c r="BI12">
        <v>1708.6120520843299</v>
      </c>
      <c r="BK12">
        <f t="shared" si="3"/>
        <v>1725.2851127897654</v>
      </c>
      <c r="BL12">
        <v>166.32524012402601</v>
      </c>
      <c r="BM12">
        <v>-53.013354963498699</v>
      </c>
      <c r="BN12">
        <v>30.479449129764799</v>
      </c>
      <c r="BO12">
        <v>1294.71866570971</v>
      </c>
      <c r="BQ12">
        <v>166.32524012402601</v>
      </c>
      <c r="BR12">
        <v>-53.013354963498699</v>
      </c>
      <c r="BS12">
        <v>1325.19811483947</v>
      </c>
      <c r="BT12">
        <f t="shared" si="4"/>
        <v>1272.1847598759714</v>
      </c>
      <c r="BV12">
        <v>166.32524012402601</v>
      </c>
      <c r="BW12">
        <v>-53.013354963498699</v>
      </c>
      <c r="BX12">
        <v>1325.19811483947</v>
      </c>
    </row>
    <row r="13" spans="1:76" x14ac:dyDescent="0.3">
      <c r="A13">
        <f t="shared" si="5"/>
        <v>7</v>
      </c>
      <c r="B13">
        <v>-28.2344168924912</v>
      </c>
      <c r="C13">
        <v>-38.045793024625702</v>
      </c>
      <c r="F13">
        <f t="shared" si="0"/>
        <v>-38.045793024625702</v>
      </c>
      <c r="H13">
        <v>-31.841782683592701</v>
      </c>
      <c r="I13">
        <v>-31.862142901724201</v>
      </c>
      <c r="J13">
        <v>237.70392558531699</v>
      </c>
      <c r="N13">
        <v>-28.2344168924912</v>
      </c>
      <c r="O13">
        <v>-38.045793024625702</v>
      </c>
      <c r="P13">
        <v>9.3692030379413502</v>
      </c>
      <c r="Q13">
        <v>230.911006879176</v>
      </c>
      <c r="T13">
        <v>-28.2344168924912</v>
      </c>
      <c r="U13">
        <v>-38.045793024625702</v>
      </c>
      <c r="V13">
        <v>9.3692030379413502</v>
      </c>
      <c r="W13">
        <v>-0.85102437069617198</v>
      </c>
      <c r="X13">
        <v>231.762031249872</v>
      </c>
      <c r="Z13" s="4">
        <v>-33.809266518140603</v>
      </c>
      <c r="AA13" s="4">
        <v>-21.8809190439035</v>
      </c>
      <c r="AB13" s="4">
        <v>125.370185562044</v>
      </c>
      <c r="AD13">
        <v>-33.809266518140603</v>
      </c>
      <c r="AE13">
        <v>-21.8809190439035</v>
      </c>
      <c r="AF13">
        <v>-13.3833409610641</v>
      </c>
      <c r="AG13">
        <v>138.75352652310801</v>
      </c>
      <c r="AI13" s="4">
        <v>-76.8837635868381</v>
      </c>
      <c r="AJ13" s="4">
        <v>-27.6014904059965</v>
      </c>
      <c r="AK13" s="4">
        <v>240.825253992835</v>
      </c>
      <c r="AM13">
        <v>-76.8837635868381</v>
      </c>
      <c r="AN13">
        <v>-27.6014904059965</v>
      </c>
      <c r="AO13">
        <v>-9.8936579188396099</v>
      </c>
      <c r="AP13">
        <v>250.71891191167401</v>
      </c>
      <c r="AR13" s="4">
        <v>-38.318404394824597</v>
      </c>
      <c r="AS13" s="4">
        <v>41.679418050292199</v>
      </c>
      <c r="AT13" s="4">
        <v>268.54898634453201</v>
      </c>
      <c r="AU13" s="4">
        <f t="shared" si="1"/>
        <v>310.22840439482422</v>
      </c>
      <c r="AW13" s="4">
        <v>-38.318404394824597</v>
      </c>
      <c r="AX13" s="4">
        <v>41.679418050292199</v>
      </c>
      <c r="AY13" s="4">
        <v>268.54898634453201</v>
      </c>
      <c r="AZ13" s="4">
        <f t="shared" si="2"/>
        <v>310.22840439482422</v>
      </c>
      <c r="BB13">
        <v>-38.318404394824597</v>
      </c>
      <c r="BC13">
        <v>41.679418050292199</v>
      </c>
      <c r="BD13">
        <v>-32.784009117312102</v>
      </c>
      <c r="BE13">
        <v>301.33299546184401</v>
      </c>
      <c r="BG13">
        <v>191.218105651391</v>
      </c>
      <c r="BH13">
        <v>-7.4743000261638297</v>
      </c>
      <c r="BI13">
        <v>1719.85619437477</v>
      </c>
      <c r="BK13">
        <f t="shared" si="3"/>
        <v>1712.3818943486062</v>
      </c>
      <c r="BL13">
        <v>37.743918135860099</v>
      </c>
      <c r="BM13">
        <v>-46.308572768252603</v>
      </c>
      <c r="BN13">
        <v>41.063116574582097</v>
      </c>
      <c r="BO13">
        <v>1306.5415380578099</v>
      </c>
      <c r="BQ13">
        <v>37.743918135860099</v>
      </c>
      <c r="BR13">
        <v>-46.308572768252603</v>
      </c>
      <c r="BS13">
        <v>1347.6046546323901</v>
      </c>
      <c r="BT13">
        <f t="shared" si="4"/>
        <v>1301.2960818641375</v>
      </c>
      <c r="BV13">
        <v>37.743918135860099</v>
      </c>
      <c r="BW13">
        <v>-46.308572768252603</v>
      </c>
      <c r="BX13">
        <v>1347.6046546323901</v>
      </c>
    </row>
    <row r="14" spans="1:76" x14ac:dyDescent="0.3">
      <c r="A14">
        <f t="shared" si="5"/>
        <v>8</v>
      </c>
      <c r="B14">
        <v>26.326423230617099</v>
      </c>
      <c r="C14">
        <v>25.9551275905369</v>
      </c>
      <c r="F14">
        <f t="shared" si="0"/>
        <v>25.9551275905369</v>
      </c>
      <c r="H14">
        <v>28.792050832386199</v>
      </c>
      <c r="I14">
        <v>25.6773597249068</v>
      </c>
      <c r="J14">
        <v>243.79058944270699</v>
      </c>
      <c r="N14">
        <v>26.326423230617099</v>
      </c>
      <c r="O14">
        <v>25.9551275905369</v>
      </c>
      <c r="P14">
        <v>13.607141921511801</v>
      </c>
      <c r="Q14">
        <v>232.371307257334</v>
      </c>
      <c r="T14">
        <v>26.326423230617099</v>
      </c>
      <c r="U14">
        <v>25.9551275905369</v>
      </c>
      <c r="V14">
        <v>13.607141921511801</v>
      </c>
      <c r="W14">
        <v>1.4492154575285201</v>
      </c>
      <c r="X14">
        <v>230.922091799806</v>
      </c>
      <c r="Z14" s="4">
        <v>35.660481213999503</v>
      </c>
      <c r="AA14" s="4">
        <v>-0.389614645659979</v>
      </c>
      <c r="AB14" s="4">
        <v>130.30913343166</v>
      </c>
      <c r="AD14">
        <v>35.660481213999503</v>
      </c>
      <c r="AE14">
        <v>-0.389614645659979</v>
      </c>
      <c r="AF14">
        <v>-7.0926279869033797</v>
      </c>
      <c r="AG14">
        <v>137.40176141856401</v>
      </c>
      <c r="AI14" s="4">
        <v>-19.738194120393899</v>
      </c>
      <c r="AJ14" s="4">
        <v>-16.6875309216245</v>
      </c>
      <c r="AK14" s="4">
        <v>238.07572504201801</v>
      </c>
      <c r="AM14">
        <v>-19.738194120393899</v>
      </c>
      <c r="AN14">
        <v>-16.6875309216245</v>
      </c>
      <c r="AO14">
        <v>-12.564551016277401</v>
      </c>
      <c r="AP14">
        <v>250.640276058296</v>
      </c>
      <c r="AR14" s="4">
        <v>-74.400571721347106</v>
      </c>
      <c r="AS14" s="4">
        <v>52.204232458495298</v>
      </c>
      <c r="AT14" s="4">
        <v>268.706339262852</v>
      </c>
      <c r="AU14" s="4">
        <f t="shared" si="1"/>
        <v>320.91057172134731</v>
      </c>
      <c r="AW14" s="4">
        <v>-74.400571721347106</v>
      </c>
      <c r="AX14" s="4">
        <v>52.204232458495298</v>
      </c>
      <c r="AY14" s="4">
        <v>268.706339262852</v>
      </c>
      <c r="AZ14" s="4">
        <f t="shared" si="2"/>
        <v>320.91057172134731</v>
      </c>
      <c r="BB14">
        <v>-74.400571721347106</v>
      </c>
      <c r="BC14">
        <v>52.204232458495298</v>
      </c>
      <c r="BD14">
        <v>-33.637093637590702</v>
      </c>
      <c r="BE14">
        <v>302.34343290044302</v>
      </c>
      <c r="BG14">
        <v>-268.56937048117101</v>
      </c>
      <c r="BH14">
        <v>-38.618496998732098</v>
      </c>
      <c r="BI14">
        <v>1731.9878674798999</v>
      </c>
      <c r="BK14">
        <f t="shared" si="3"/>
        <v>1693.3693704811678</v>
      </c>
      <c r="BL14">
        <v>-208.84030794362101</v>
      </c>
      <c r="BM14">
        <v>5.6877531627511599</v>
      </c>
      <c r="BN14">
        <v>43.786556910979101</v>
      </c>
      <c r="BO14">
        <v>1315.4859978698901</v>
      </c>
      <c r="BQ14">
        <v>-208.84030794362101</v>
      </c>
      <c r="BR14">
        <v>5.6877531627511599</v>
      </c>
      <c r="BS14">
        <v>1359.27255478087</v>
      </c>
      <c r="BT14">
        <f t="shared" si="4"/>
        <v>1364.960307943621</v>
      </c>
      <c r="BV14">
        <v>-208.84030794362101</v>
      </c>
      <c r="BW14">
        <v>5.6877531627511599</v>
      </c>
      <c r="BX14">
        <v>1359.27255478087</v>
      </c>
    </row>
    <row r="15" spans="1:76" x14ac:dyDescent="0.3">
      <c r="A15">
        <f t="shared" si="5"/>
        <v>9</v>
      </c>
      <c r="B15">
        <v>-14.2021974847416</v>
      </c>
      <c r="C15">
        <v>60.8445789459278</v>
      </c>
      <c r="F15">
        <f t="shared" si="0"/>
        <v>60.8445789459278</v>
      </c>
      <c r="H15">
        <v>-12.0965530371068</v>
      </c>
      <c r="I15">
        <v>59.077536501370702</v>
      </c>
      <c r="J15">
        <v>247.80901653573599</v>
      </c>
      <c r="N15">
        <v>-14.2021974847416</v>
      </c>
      <c r="O15">
        <v>60.8445789459278</v>
      </c>
      <c r="P15">
        <v>14.451564482979601</v>
      </c>
      <c r="Q15">
        <v>233.696054055834</v>
      </c>
      <c r="T15">
        <v>-14.2021974847416</v>
      </c>
      <c r="U15">
        <v>60.8445789459278</v>
      </c>
      <c r="V15">
        <v>14.451564482979601</v>
      </c>
      <c r="W15">
        <v>3.7000984569567299</v>
      </c>
      <c r="X15">
        <v>229.995955598877</v>
      </c>
      <c r="Z15" s="4">
        <v>-33.983827444868901</v>
      </c>
      <c r="AA15" s="4">
        <v>20.898079727377301</v>
      </c>
      <c r="AB15" s="4">
        <v>136.11574771749201</v>
      </c>
      <c r="AD15">
        <v>-33.983827444868901</v>
      </c>
      <c r="AE15">
        <v>20.898079727377301</v>
      </c>
      <c r="AF15">
        <v>9.6731345870205501E-2</v>
      </c>
      <c r="AG15">
        <v>136.01901637162101</v>
      </c>
      <c r="AI15" s="4">
        <v>2.7374106880890898</v>
      </c>
      <c r="AJ15" s="4">
        <v>2.3011560501809498</v>
      </c>
      <c r="AK15" s="4">
        <v>235.07143326172999</v>
      </c>
      <c r="AM15">
        <v>2.7374106880890898</v>
      </c>
      <c r="AN15">
        <v>2.3011560501809498</v>
      </c>
      <c r="AO15">
        <v>-15.266536187842</v>
      </c>
      <c r="AP15">
        <v>250.337969449572</v>
      </c>
      <c r="AR15" s="4">
        <v>25.3536598483138</v>
      </c>
      <c r="AS15" s="4">
        <v>62.788895914329899</v>
      </c>
      <c r="AT15" s="4">
        <v>270.477444237356</v>
      </c>
      <c r="AU15" s="4">
        <f t="shared" si="1"/>
        <v>333.26634015168588</v>
      </c>
      <c r="AW15" s="4">
        <v>25.3536598483138</v>
      </c>
      <c r="AX15" s="4">
        <v>62.788895914329899</v>
      </c>
      <c r="AY15" s="4">
        <v>270.477444237356</v>
      </c>
      <c r="AZ15" s="4">
        <f t="shared" si="2"/>
        <v>333.26634015168588</v>
      </c>
      <c r="BB15">
        <v>25.3536598483138</v>
      </c>
      <c r="BC15">
        <v>62.788895914329899</v>
      </c>
      <c r="BD15">
        <v>-32.943961881752699</v>
      </c>
      <c r="BE15">
        <v>303.42140611910901</v>
      </c>
      <c r="BG15">
        <v>133.808824143978</v>
      </c>
      <c r="BH15">
        <v>-18.961769347251298</v>
      </c>
      <c r="BI15">
        <v>1732.75294520327</v>
      </c>
      <c r="BK15">
        <f t="shared" si="3"/>
        <v>1713.7911758560188</v>
      </c>
      <c r="BL15">
        <v>-14.5470699170966</v>
      </c>
      <c r="BM15">
        <v>100.30473226008699</v>
      </c>
      <c r="BN15">
        <v>39.778314705184897</v>
      </c>
      <c r="BO15">
        <v>1321.1040229518301</v>
      </c>
      <c r="BQ15">
        <v>-14.5470699170966</v>
      </c>
      <c r="BR15">
        <v>100.30473226008699</v>
      </c>
      <c r="BS15">
        <v>1360.8823376570101</v>
      </c>
      <c r="BT15">
        <f t="shared" si="4"/>
        <v>1461.187069917097</v>
      </c>
      <c r="BV15">
        <v>-14.5470699170966</v>
      </c>
      <c r="BW15">
        <v>100.30473226008699</v>
      </c>
      <c r="BX15">
        <v>1360.8823376570101</v>
      </c>
    </row>
    <row r="16" spans="1:76" x14ac:dyDescent="0.3">
      <c r="A16">
        <f t="shared" si="5"/>
        <v>10</v>
      </c>
      <c r="B16">
        <v>11.3110384433867</v>
      </c>
      <c r="C16">
        <v>53.005095529818803</v>
      </c>
      <c r="F16">
        <f t="shared" si="0"/>
        <v>53.005095529818803</v>
      </c>
      <c r="H16">
        <v>7.3368272606888603</v>
      </c>
      <c r="I16">
        <v>55.146002936166198</v>
      </c>
      <c r="J16">
        <v>249.157169803145</v>
      </c>
      <c r="N16">
        <v>11.3110384433867</v>
      </c>
      <c r="O16">
        <v>53.005095529818803</v>
      </c>
      <c r="P16">
        <v>12.4598438362964</v>
      </c>
      <c r="Q16">
        <v>234.86402219049799</v>
      </c>
      <c r="T16">
        <v>11.3110384433867</v>
      </c>
      <c r="U16">
        <v>53.005095529818803</v>
      </c>
      <c r="V16">
        <v>12.4598438362964</v>
      </c>
      <c r="W16">
        <v>5.86890664329575</v>
      </c>
      <c r="X16">
        <v>228.995115547202</v>
      </c>
      <c r="Z16" s="4">
        <v>36.736636881612199</v>
      </c>
      <c r="AA16" s="4">
        <v>27.510417392643401</v>
      </c>
      <c r="AB16" s="4">
        <v>141.52294572574399</v>
      </c>
      <c r="AD16">
        <v>36.736636881612199</v>
      </c>
      <c r="AE16">
        <v>27.510417392643401</v>
      </c>
      <c r="AF16">
        <v>6.9060248448851</v>
      </c>
      <c r="AG16">
        <v>134.616920880859</v>
      </c>
      <c r="AI16" s="4">
        <v>34.311583850223599</v>
      </c>
      <c r="AJ16" s="4">
        <v>20.6809319707057</v>
      </c>
      <c r="AK16" s="4">
        <v>232.03748417907099</v>
      </c>
      <c r="AM16">
        <v>34.311583850223599</v>
      </c>
      <c r="AN16">
        <v>20.6809319707057</v>
      </c>
      <c r="AO16">
        <v>-17.7616310122181</v>
      </c>
      <c r="AP16">
        <v>249.79911519128899</v>
      </c>
      <c r="AR16" s="4">
        <v>59.816583061545401</v>
      </c>
      <c r="AS16" s="4">
        <v>73.253366490134198</v>
      </c>
      <c r="AT16" s="4">
        <v>273.26005044831999</v>
      </c>
      <c r="AU16" s="4">
        <f t="shared" si="1"/>
        <v>346.51341693845416</v>
      </c>
      <c r="AW16" s="4">
        <v>59.816583061545401</v>
      </c>
      <c r="AX16" s="4">
        <v>73.253366490134198</v>
      </c>
      <c r="AY16" s="4">
        <v>273.26005044831999</v>
      </c>
      <c r="AZ16" s="4">
        <f t="shared" si="2"/>
        <v>346.51341693845416</v>
      </c>
      <c r="BB16">
        <v>59.816583061545401</v>
      </c>
      <c r="BC16">
        <v>73.253366490134198</v>
      </c>
      <c r="BD16">
        <v>-31.300439018420899</v>
      </c>
      <c r="BE16">
        <v>304.56048946674099</v>
      </c>
      <c r="BG16">
        <v>209.07624607661199</v>
      </c>
      <c r="BH16">
        <v>55.932130163796302</v>
      </c>
      <c r="BI16">
        <v>1716.4916237595901</v>
      </c>
      <c r="BK16">
        <f t="shared" si="3"/>
        <v>1772.4237539233864</v>
      </c>
      <c r="BL16">
        <v>87.045220837007307</v>
      </c>
      <c r="BM16">
        <v>176.640253530075</v>
      </c>
      <c r="BN16">
        <v>29.8331508275567</v>
      </c>
      <c r="BO16">
        <v>1323.28137480536</v>
      </c>
      <c r="BQ16">
        <v>87.045220837007307</v>
      </c>
      <c r="BR16">
        <v>176.640253530075</v>
      </c>
      <c r="BS16">
        <v>1353.11452563292</v>
      </c>
      <c r="BT16">
        <f t="shared" si="4"/>
        <v>1529.754779162995</v>
      </c>
      <c r="BV16">
        <v>87.045220837007307</v>
      </c>
      <c r="BW16">
        <v>176.640253530075</v>
      </c>
      <c r="BX16">
        <v>1353.11452563292</v>
      </c>
    </row>
    <row r="17" spans="1:76" x14ac:dyDescent="0.3">
      <c r="A17">
        <f t="shared" si="5"/>
        <v>11</v>
      </c>
      <c r="B17">
        <v>-22.036632796543401</v>
      </c>
      <c r="C17">
        <v>49.628768880431203</v>
      </c>
      <c r="F17">
        <f t="shared" si="0"/>
        <v>49.628768880431203</v>
      </c>
      <c r="H17">
        <v>-23.558752135797999</v>
      </c>
      <c r="I17">
        <v>48.196092782179903</v>
      </c>
      <c r="J17">
        <v>248.202659353618</v>
      </c>
      <c r="N17">
        <v>-22.036632796543401</v>
      </c>
      <c r="O17">
        <v>49.628768880431203</v>
      </c>
      <c r="P17">
        <v>9.3728939217449696</v>
      </c>
      <c r="Q17">
        <v>235.87496999436701</v>
      </c>
      <c r="T17">
        <v>-22.036632796543401</v>
      </c>
      <c r="U17">
        <v>49.628768880431203</v>
      </c>
      <c r="V17">
        <v>9.3728939217449696</v>
      </c>
      <c r="W17">
        <v>7.9439054494721697</v>
      </c>
      <c r="X17">
        <v>227.93106454489501</v>
      </c>
      <c r="Z17" s="4">
        <v>-46.689648311519001</v>
      </c>
      <c r="AA17" s="4">
        <v>35.536003548893099</v>
      </c>
      <c r="AB17" s="4">
        <v>145.263644762626</v>
      </c>
      <c r="AD17">
        <v>-46.689648311519001</v>
      </c>
      <c r="AE17">
        <v>35.536003548893099</v>
      </c>
      <c r="AF17">
        <v>12.0565403177697</v>
      </c>
      <c r="AG17">
        <v>133.20710444485599</v>
      </c>
      <c r="AI17" s="4">
        <v>-24.326405637048399</v>
      </c>
      <c r="AJ17" s="4">
        <v>29.647422315906699</v>
      </c>
      <c r="AK17" s="4">
        <v>229.19898332114201</v>
      </c>
      <c r="AM17">
        <v>-24.326405637048399</v>
      </c>
      <c r="AN17">
        <v>29.647422315906699</v>
      </c>
      <c r="AO17">
        <v>-19.811853068090301</v>
      </c>
      <c r="AP17">
        <v>249.010836389232</v>
      </c>
      <c r="AR17" s="4">
        <v>-61.091987907982997</v>
      </c>
      <c r="AS17" s="4">
        <v>76.9500808319642</v>
      </c>
      <c r="AT17" s="4">
        <v>276.45190707601898</v>
      </c>
      <c r="AU17" s="4">
        <f t="shared" si="1"/>
        <v>353.4019879079832</v>
      </c>
      <c r="AW17" s="4">
        <v>-61.091987907982997</v>
      </c>
      <c r="AX17" s="4">
        <v>76.9500808319642</v>
      </c>
      <c r="AY17" s="4">
        <v>276.45190707601898</v>
      </c>
      <c r="AZ17" s="4">
        <f t="shared" si="2"/>
        <v>353.4019879079832</v>
      </c>
      <c r="BB17">
        <v>-61.091987907982997</v>
      </c>
      <c r="BC17">
        <v>76.9500808319642</v>
      </c>
      <c r="BD17">
        <v>-29.302350216217999</v>
      </c>
      <c r="BE17">
        <v>305.75425729223701</v>
      </c>
      <c r="BG17">
        <v>-196.335290006566</v>
      </c>
      <c r="BH17">
        <v>109.04660378449201</v>
      </c>
      <c r="BI17">
        <v>1692.38868622207</v>
      </c>
      <c r="BK17">
        <f t="shared" si="3"/>
        <v>1801.4352900065619</v>
      </c>
      <c r="BL17">
        <v>-47.467173219144698</v>
      </c>
      <c r="BM17">
        <v>167.68546474775499</v>
      </c>
      <c r="BN17">
        <v>14.881732541775699</v>
      </c>
      <c r="BO17">
        <v>1322.42997592961</v>
      </c>
      <c r="BQ17">
        <v>-47.467173219144698</v>
      </c>
      <c r="BR17">
        <v>167.68546474775499</v>
      </c>
      <c r="BS17">
        <v>1337.3117084713899</v>
      </c>
      <c r="BT17">
        <f t="shared" si="4"/>
        <v>1504.997173219145</v>
      </c>
      <c r="BV17">
        <v>-47.467173219144698</v>
      </c>
      <c r="BW17">
        <v>167.68546474775499</v>
      </c>
      <c r="BX17">
        <v>1337.3117084713899</v>
      </c>
    </row>
    <row r="18" spans="1:76" x14ac:dyDescent="0.3">
      <c r="A18">
        <f t="shared" si="5"/>
        <v>12</v>
      </c>
      <c r="B18">
        <v>9.9575172559916894</v>
      </c>
      <c r="C18">
        <v>37.754018692973098</v>
      </c>
      <c r="F18">
        <f t="shared" si="0"/>
        <v>37.754018692973098</v>
      </c>
      <c r="H18">
        <v>6.2869771651071096</v>
      </c>
      <c r="I18">
        <v>38.197515746567099</v>
      </c>
      <c r="J18">
        <v>245.55550708832601</v>
      </c>
      <c r="N18">
        <v>9.9575172559916894</v>
      </c>
      <c r="O18">
        <v>37.754018692973098</v>
      </c>
      <c r="P18">
        <v>5.6230568564534398</v>
      </c>
      <c r="Q18">
        <v>236.70540719458199</v>
      </c>
      <c r="T18">
        <v>9.9575172559916894</v>
      </c>
      <c r="U18">
        <v>37.754018692973098</v>
      </c>
      <c r="V18">
        <v>5.6230568564534398</v>
      </c>
      <c r="W18">
        <v>9.8901117025111294</v>
      </c>
      <c r="X18">
        <v>226.81529549207099</v>
      </c>
      <c r="Z18" s="4">
        <v>-3.9518933123534801</v>
      </c>
      <c r="AA18" s="4">
        <v>38.411131178010599</v>
      </c>
      <c r="AB18" s="4">
        <v>146.070762134343</v>
      </c>
      <c r="AD18">
        <v>-3.9518933123534801</v>
      </c>
      <c r="AE18">
        <v>38.411131178010599</v>
      </c>
      <c r="AF18">
        <v>14.269565572152599</v>
      </c>
      <c r="AG18">
        <v>131.80119656219</v>
      </c>
      <c r="AI18" s="4">
        <v>-35.794344835468102</v>
      </c>
      <c r="AJ18" s="4">
        <v>19.8835939894585</v>
      </c>
      <c r="AK18" s="4">
        <v>226.81075084601</v>
      </c>
      <c r="AM18">
        <v>-35.794344835468102</v>
      </c>
      <c r="AN18">
        <v>19.8835939894585</v>
      </c>
      <c r="AO18">
        <v>-21.149505303178302</v>
      </c>
      <c r="AP18">
        <v>247.96025614918801</v>
      </c>
      <c r="AR18" s="4">
        <v>-10.1531487529248</v>
      </c>
      <c r="AS18" s="4">
        <v>60.301534219716601</v>
      </c>
      <c r="AT18" s="4">
        <v>279.57161453320799</v>
      </c>
      <c r="AU18" s="4">
        <f t="shared" si="1"/>
        <v>339.87314875292458</v>
      </c>
      <c r="AW18" s="4">
        <v>-10.1531487529248</v>
      </c>
      <c r="AX18" s="4">
        <v>60.301534219716601</v>
      </c>
      <c r="AY18" s="4">
        <v>279.57161453320799</v>
      </c>
      <c r="AZ18" s="4">
        <f t="shared" si="2"/>
        <v>339.87314875292458</v>
      </c>
      <c r="BB18">
        <v>-10.1531487529248</v>
      </c>
      <c r="BC18">
        <v>60.301534219716601</v>
      </c>
      <c r="BD18">
        <v>-27.4246694112847</v>
      </c>
      <c r="BE18">
        <v>306.99628394449297</v>
      </c>
      <c r="BG18">
        <v>211.53250758995301</v>
      </c>
      <c r="BH18">
        <v>35.325580596478503</v>
      </c>
      <c r="BI18">
        <v>1682.3419118135701</v>
      </c>
      <c r="BK18">
        <f t="shared" si="3"/>
        <v>1717.6674924100485</v>
      </c>
      <c r="BL18">
        <v>68.642160124896805</v>
      </c>
      <c r="BM18">
        <v>53.863094377099998</v>
      </c>
      <c r="BN18">
        <v>-1.6150606786061701</v>
      </c>
      <c r="BO18">
        <v>1319.07980617661</v>
      </c>
      <c r="BQ18">
        <v>68.642160124896805</v>
      </c>
      <c r="BR18">
        <v>53.863094377099998</v>
      </c>
      <c r="BS18">
        <v>1317.464745498</v>
      </c>
      <c r="BT18">
        <f t="shared" si="4"/>
        <v>1371.3278398750999</v>
      </c>
      <c r="BV18">
        <v>68.642160124896805</v>
      </c>
      <c r="BW18">
        <v>53.863094377099998</v>
      </c>
      <c r="BX18">
        <v>1317.464745498</v>
      </c>
    </row>
    <row r="19" spans="1:76" x14ac:dyDescent="0.3">
      <c r="A19">
        <f t="shared" si="5"/>
        <v>13</v>
      </c>
      <c r="B19">
        <v>54.727513377971498</v>
      </c>
      <c r="C19">
        <v>10.5079683461969</v>
      </c>
      <c r="F19">
        <f t="shared" si="0"/>
        <v>10.5079683461969</v>
      </c>
      <c r="H19">
        <v>54.191417032868799</v>
      </c>
      <c r="I19">
        <v>8.1928480586924408</v>
      </c>
      <c r="J19">
        <v>241.82573490843899</v>
      </c>
      <c r="N19">
        <v>54.727513377971498</v>
      </c>
      <c r="O19">
        <v>10.5079683461969</v>
      </c>
      <c r="P19">
        <v>1.6426747575498499</v>
      </c>
      <c r="Q19">
        <v>237.331843518282</v>
      </c>
      <c r="T19">
        <v>54.727513377971498</v>
      </c>
      <c r="U19">
        <v>10.5079683461969</v>
      </c>
      <c r="V19">
        <v>1.6426747575498499</v>
      </c>
      <c r="W19">
        <v>11.6725422294378</v>
      </c>
      <c r="X19">
        <v>225.65930128884401</v>
      </c>
      <c r="Z19" s="4">
        <v>70.312031807166207</v>
      </c>
      <c r="AA19" s="4">
        <v>29.4586806173828</v>
      </c>
      <c r="AB19" s="4">
        <v>141.409287575451</v>
      </c>
      <c r="AD19">
        <v>70.312031807166207</v>
      </c>
      <c r="AE19">
        <v>29.4586806173828</v>
      </c>
      <c r="AF19">
        <v>11.149288176680299</v>
      </c>
      <c r="AG19">
        <v>130.25999939877099</v>
      </c>
      <c r="AI19" s="4">
        <v>53.708424699418899</v>
      </c>
      <c r="AJ19" s="4">
        <v>-10.1048901350183</v>
      </c>
      <c r="AK19" s="4">
        <v>225.24646543559899</v>
      </c>
      <c r="AM19">
        <v>53.708424699418899</v>
      </c>
      <c r="AN19">
        <v>-10.1048901350183</v>
      </c>
      <c r="AO19">
        <v>-21.390632897649098</v>
      </c>
      <c r="AP19">
        <v>246.63709833324901</v>
      </c>
      <c r="AR19" s="4">
        <v>84.573834090208706</v>
      </c>
      <c r="AS19" s="4">
        <v>27.704987747217402</v>
      </c>
      <c r="AT19" s="4">
        <v>282.62117816257398</v>
      </c>
      <c r="AU19" s="4">
        <f t="shared" si="1"/>
        <v>310.32616590979137</v>
      </c>
      <c r="AW19" s="4">
        <v>84.573834090208706</v>
      </c>
      <c r="AX19" s="4">
        <v>27.704987747217402</v>
      </c>
      <c r="AY19" s="4">
        <v>282.62117816257398</v>
      </c>
      <c r="AZ19" s="4">
        <f t="shared" si="2"/>
        <v>310.32616590979137</v>
      </c>
      <c r="BB19">
        <v>84.573834090208706</v>
      </c>
      <c r="BC19">
        <v>27.704987747217402</v>
      </c>
      <c r="BD19">
        <v>-25.658965609833199</v>
      </c>
      <c r="BE19">
        <v>308.28014377240697</v>
      </c>
      <c r="BG19">
        <v>-241.36948765754801</v>
      </c>
      <c r="BH19">
        <v>-99.472846945878103</v>
      </c>
      <c r="BI19">
        <v>1701.6423346034301</v>
      </c>
      <c r="BK19">
        <f t="shared" si="3"/>
        <v>1602.1694876575521</v>
      </c>
      <c r="BL19">
        <v>-133.07693147733301</v>
      </c>
      <c r="BM19">
        <v>-114.169631951692</v>
      </c>
      <c r="BN19">
        <v>-15.5342819693434</v>
      </c>
      <c r="BO19">
        <v>1313.7608453983701</v>
      </c>
      <c r="BQ19">
        <v>-133.07693147733301</v>
      </c>
      <c r="BR19">
        <v>-114.169631951692</v>
      </c>
      <c r="BS19">
        <v>1298.22656342903</v>
      </c>
      <c r="BT19">
        <f t="shared" si="4"/>
        <v>1184.0569314773379</v>
      </c>
      <c r="BV19">
        <v>-133.07693147733301</v>
      </c>
      <c r="BW19">
        <v>-114.169631951692</v>
      </c>
      <c r="BX19">
        <v>1298.22656342903</v>
      </c>
    </row>
    <row r="20" spans="1:76" x14ac:dyDescent="0.3">
      <c r="A20">
        <f t="shared" si="5"/>
        <v>14</v>
      </c>
      <c r="B20">
        <v>-48.491305390667598</v>
      </c>
      <c r="C20">
        <v>-36.863573044101798</v>
      </c>
      <c r="F20">
        <f t="shared" si="0"/>
        <v>-36.863573044101798</v>
      </c>
      <c r="H20">
        <v>-44.126662203727101</v>
      </c>
      <c r="I20">
        <v>-43.2567025114001</v>
      </c>
      <c r="J20">
        <v>237.623364715127</v>
      </c>
      <c r="N20">
        <v>-48.491305390667598</v>
      </c>
      <c r="O20">
        <v>-36.863573044101798</v>
      </c>
      <c r="P20">
        <v>-2.1359102578377298</v>
      </c>
      <c r="Q20">
        <v>237.73078869260701</v>
      </c>
      <c r="T20">
        <v>-48.491305390667598</v>
      </c>
      <c r="U20">
        <v>-36.863573044101798</v>
      </c>
      <c r="V20">
        <v>-2.1359102578377298</v>
      </c>
      <c r="W20">
        <v>13.256213857277301</v>
      </c>
      <c r="X20">
        <v>224.47457483533</v>
      </c>
      <c r="Z20" s="4">
        <v>-57.770740740740798</v>
      </c>
      <c r="AA20" s="4">
        <v>-15.9974560054627</v>
      </c>
      <c r="AB20" s="4">
        <v>131.83819674620301</v>
      </c>
      <c r="AD20">
        <v>-57.770740740740798</v>
      </c>
      <c r="AE20">
        <v>-15.9974560054627</v>
      </c>
      <c r="AF20">
        <v>3.3689196935588899</v>
      </c>
      <c r="AG20">
        <v>128.469277052645</v>
      </c>
      <c r="AI20" s="4">
        <v>-73.087865196312407</v>
      </c>
      <c r="AJ20" s="4">
        <v>-30.221655206489</v>
      </c>
      <c r="AK20" s="4">
        <v>224.90952040280101</v>
      </c>
      <c r="AM20">
        <v>-73.087865196312407</v>
      </c>
      <c r="AN20">
        <v>-30.221655206489</v>
      </c>
      <c r="AO20">
        <v>-20.131969425929299</v>
      </c>
      <c r="AP20">
        <v>245.04148982873099</v>
      </c>
      <c r="AR20" s="4">
        <v>-86.552736242987095</v>
      </c>
      <c r="AS20" s="4">
        <v>-8.1107182962959108</v>
      </c>
      <c r="AT20" s="4">
        <v>285.72345453928301</v>
      </c>
      <c r="AU20" s="4">
        <f t="shared" si="1"/>
        <v>277.61273624298713</v>
      </c>
      <c r="AW20" s="4">
        <v>-86.552736242987095</v>
      </c>
      <c r="AX20" s="4">
        <v>-8.1107182962959108</v>
      </c>
      <c r="AY20" s="4">
        <v>285.72345453928301</v>
      </c>
      <c r="AZ20" s="4">
        <f t="shared" si="2"/>
        <v>277.61273624298713</v>
      </c>
      <c r="BB20">
        <v>-86.552736242987095</v>
      </c>
      <c r="BC20">
        <v>-8.1107182962959108</v>
      </c>
      <c r="BD20">
        <v>-23.875956585593698</v>
      </c>
      <c r="BE20">
        <v>309.59941112487701</v>
      </c>
      <c r="BG20">
        <v>311.37805792688101</v>
      </c>
      <c r="BH20">
        <v>-232.6426778615</v>
      </c>
      <c r="BI20">
        <v>1749.5646199346199</v>
      </c>
      <c r="BK20">
        <f t="shared" si="3"/>
        <v>1516.9219420731199</v>
      </c>
      <c r="BL20">
        <v>237.77851120944899</v>
      </c>
      <c r="BM20">
        <v>-232.368600190173</v>
      </c>
      <c r="BN20">
        <v>-22.752984466189801</v>
      </c>
      <c r="BO20">
        <v>1307.0030734469101</v>
      </c>
      <c r="BQ20">
        <v>237.77851120944899</v>
      </c>
      <c r="BR20">
        <v>-232.368600190173</v>
      </c>
      <c r="BS20">
        <v>1284.25008898072</v>
      </c>
      <c r="BT20">
        <f t="shared" si="4"/>
        <v>1051.8814887905469</v>
      </c>
      <c r="BV20">
        <v>237.77851120944899</v>
      </c>
      <c r="BW20">
        <v>-232.368600190173</v>
      </c>
      <c r="BX20">
        <v>1284.25008898072</v>
      </c>
    </row>
    <row r="21" spans="1:76" x14ac:dyDescent="0.3">
      <c r="A21">
        <f t="shared" si="5"/>
        <v>15</v>
      </c>
      <c r="B21">
        <v>37.852051377431103</v>
      </c>
      <c r="C21">
        <v>-56.630447749547997</v>
      </c>
      <c r="F21">
        <f t="shared" si="0"/>
        <v>-56.630447749547997</v>
      </c>
      <c r="H21">
        <v>35.479207175435299</v>
      </c>
      <c r="I21">
        <v>-55.217625584996902</v>
      </c>
      <c r="J21">
        <v>233.55841840956199</v>
      </c>
      <c r="N21">
        <v>37.852051377431103</v>
      </c>
      <c r="O21">
        <v>-56.630447749547997</v>
      </c>
      <c r="P21">
        <v>-5.28035607258124</v>
      </c>
      <c r="Q21">
        <v>237.87875244469799</v>
      </c>
      <c r="T21">
        <v>37.852051377431103</v>
      </c>
      <c r="U21">
        <v>-56.630447749547997</v>
      </c>
      <c r="V21">
        <v>-5.28035607258124</v>
      </c>
      <c r="W21">
        <v>14.606143413054699</v>
      </c>
      <c r="X21">
        <v>223.27260903164299</v>
      </c>
      <c r="Z21" s="4">
        <v>34.823315919327698</v>
      </c>
      <c r="AA21" s="4">
        <v>-31.1347017606824</v>
      </c>
      <c r="AB21" s="4">
        <v>120.73138584135501</v>
      </c>
      <c r="AD21">
        <v>34.823315919327698</v>
      </c>
      <c r="AE21">
        <v>-31.1347017606824</v>
      </c>
      <c r="AF21">
        <v>-5.7467160792438197</v>
      </c>
      <c r="AG21">
        <v>126.478101920599</v>
      </c>
      <c r="AI21" s="4">
        <v>82.103728048161898</v>
      </c>
      <c r="AJ21" s="4">
        <v>-15.427811342007599</v>
      </c>
      <c r="AK21" s="4">
        <v>226.09408329384601</v>
      </c>
      <c r="AM21">
        <v>82.103728048161898</v>
      </c>
      <c r="AN21">
        <v>-15.427811342007599</v>
      </c>
      <c r="AO21">
        <v>-17.082051727479399</v>
      </c>
      <c r="AP21">
        <v>243.176135021325</v>
      </c>
      <c r="AR21" s="4">
        <v>75.846907373665402</v>
      </c>
      <c r="AS21" s="4">
        <v>-28.3882076121685</v>
      </c>
      <c r="AT21" s="4">
        <v>289.00130023850301</v>
      </c>
      <c r="AU21" s="4">
        <f t="shared" si="1"/>
        <v>260.61309262633449</v>
      </c>
      <c r="AW21" s="4">
        <v>75.846907373665402</v>
      </c>
      <c r="AX21" s="4">
        <v>-28.3882076121685</v>
      </c>
      <c r="AY21" s="4">
        <v>289.00130023850301</v>
      </c>
      <c r="AZ21" s="4">
        <f t="shared" si="2"/>
        <v>260.61309262633449</v>
      </c>
      <c r="BB21">
        <v>75.846907373665402</v>
      </c>
      <c r="BC21">
        <v>-28.3882076121685</v>
      </c>
      <c r="BD21">
        <v>-21.946360112295899</v>
      </c>
      <c r="BE21">
        <v>310.94766035079903</v>
      </c>
      <c r="BG21">
        <v>-198.974632298519</v>
      </c>
      <c r="BH21">
        <v>-173.515499796054</v>
      </c>
      <c r="BI21">
        <v>1811.29013209457</v>
      </c>
      <c r="BK21">
        <f t="shared" si="3"/>
        <v>1637.7746322985161</v>
      </c>
      <c r="BL21">
        <v>-96.656106146805698</v>
      </c>
      <c r="BM21">
        <v>-186.483859607206</v>
      </c>
      <c r="BN21">
        <v>-20.599770105483199</v>
      </c>
      <c r="BO21">
        <v>1299.33973585949</v>
      </c>
      <c r="BQ21">
        <v>-96.656106146805698</v>
      </c>
      <c r="BR21">
        <v>-186.483859607206</v>
      </c>
      <c r="BS21">
        <v>1278.73996575401</v>
      </c>
      <c r="BT21">
        <f t="shared" si="4"/>
        <v>1092.2561061468041</v>
      </c>
      <c r="BV21">
        <v>-96.656106146805698</v>
      </c>
      <c r="BW21">
        <v>-186.483859607206</v>
      </c>
      <c r="BX21">
        <v>1278.73996575401</v>
      </c>
    </row>
    <row r="22" spans="1:76" x14ac:dyDescent="0.3">
      <c r="A22">
        <f t="shared" si="5"/>
        <v>16</v>
      </c>
      <c r="B22">
        <v>-54.000624999999999</v>
      </c>
      <c r="C22">
        <v>7.5654019039508098</v>
      </c>
      <c r="F22">
        <f t="shared" si="0"/>
        <v>7.5654019039508098</v>
      </c>
      <c r="H22">
        <v>-49.174869435767299</v>
      </c>
      <c r="I22">
        <v>2.3605225087777701</v>
      </c>
      <c r="J22">
        <v>230.23434692699001</v>
      </c>
      <c r="N22">
        <v>-54.000624999999999</v>
      </c>
      <c r="O22">
        <v>7.5654019039508098</v>
      </c>
      <c r="P22">
        <v>-7.8970214056455603</v>
      </c>
      <c r="Q22">
        <v>237.752244501695</v>
      </c>
      <c r="T22">
        <v>-54.000624999999999</v>
      </c>
      <c r="U22">
        <v>7.5654019039508098</v>
      </c>
      <c r="V22">
        <v>-7.8970214056455603</v>
      </c>
      <c r="W22">
        <v>15.687347723795201</v>
      </c>
      <c r="X22">
        <v>222.0648967779</v>
      </c>
      <c r="Z22" s="4">
        <v>-27.986692708518799</v>
      </c>
      <c r="AA22" s="4">
        <v>8.1571508525700498</v>
      </c>
      <c r="AB22" s="4">
        <v>111.97954185594899</v>
      </c>
      <c r="AD22">
        <v>-27.986692708518799</v>
      </c>
      <c r="AE22">
        <v>8.1571508525700498</v>
      </c>
      <c r="AF22">
        <v>-12.3560045434704</v>
      </c>
      <c r="AG22">
        <v>124.335546399419</v>
      </c>
      <c r="AI22" s="4">
        <v>-80.346314161706701</v>
      </c>
      <c r="AJ22" s="4">
        <v>15.1888955733854</v>
      </c>
      <c r="AK22" s="4">
        <v>228.65741858832101</v>
      </c>
      <c r="AM22">
        <v>-80.346314161706701</v>
      </c>
      <c r="AN22">
        <v>15.1888955733854</v>
      </c>
      <c r="AO22">
        <v>-12.386226676669899</v>
      </c>
      <c r="AP22">
        <v>241.043645264991</v>
      </c>
      <c r="AR22" s="4">
        <v>-61.284022852602398</v>
      </c>
      <c r="AS22" s="4">
        <v>-37.673548982798899</v>
      </c>
      <c r="AT22" s="4">
        <v>292.57757183540099</v>
      </c>
      <c r="AU22" s="4">
        <f t="shared" si="1"/>
        <v>254.90402285260208</v>
      </c>
      <c r="AW22" s="4">
        <v>-61.284022852602398</v>
      </c>
      <c r="AX22" s="4">
        <v>-37.673548982798899</v>
      </c>
      <c r="AY22" s="4">
        <v>292.57757183540099</v>
      </c>
      <c r="AZ22" s="4">
        <f t="shared" si="2"/>
        <v>254.90402285260208</v>
      </c>
      <c r="BB22">
        <v>-61.284022852602398</v>
      </c>
      <c r="BC22">
        <v>-37.673548982798899</v>
      </c>
      <c r="BD22">
        <v>-19.740893963670299</v>
      </c>
      <c r="BE22">
        <v>312.31846579907199</v>
      </c>
      <c r="BG22">
        <v>-642.74584014699894</v>
      </c>
      <c r="BH22">
        <v>113.092698061688</v>
      </c>
      <c r="BI22">
        <v>1865.7531420853099</v>
      </c>
      <c r="BK22">
        <f t="shared" si="3"/>
        <v>1978.8458401469979</v>
      </c>
      <c r="BL22">
        <v>-437.20356552035901</v>
      </c>
      <c r="BM22">
        <v>-10.4841393680096</v>
      </c>
      <c r="BN22">
        <v>-12.250002680161799</v>
      </c>
      <c r="BO22">
        <v>1291.35770756853</v>
      </c>
      <c r="BQ22">
        <v>-437.20356552035901</v>
      </c>
      <c r="BR22">
        <v>-10.4841393680096</v>
      </c>
      <c r="BS22">
        <v>1279.1077048883701</v>
      </c>
      <c r="BT22">
        <f t="shared" si="4"/>
        <v>1268.6235655203604</v>
      </c>
      <c r="BV22">
        <v>-437.20356552035901</v>
      </c>
      <c r="BW22">
        <v>-10.4841393680096</v>
      </c>
      <c r="BX22">
        <v>1279.1077048883701</v>
      </c>
    </row>
    <row r="23" spans="1:76" x14ac:dyDescent="0.3">
      <c r="A23">
        <f t="shared" si="5"/>
        <v>17</v>
      </c>
      <c r="B23">
        <v>71.288164062500002</v>
      </c>
      <c r="C23">
        <v>56.961245399702598</v>
      </c>
      <c r="F23">
        <f t="shared" si="0"/>
        <v>56.961245399702598</v>
      </c>
      <c r="H23">
        <v>70.441413496849805</v>
      </c>
      <c r="I23">
        <v>56.9702691641832</v>
      </c>
      <c r="J23">
        <v>228.228317338967</v>
      </c>
      <c r="N23">
        <v>71.288164062500002</v>
      </c>
      <c r="O23">
        <v>56.961245399702598</v>
      </c>
      <c r="P23">
        <v>-9.9371840529395694</v>
      </c>
      <c r="Q23">
        <v>237.32777459073699</v>
      </c>
      <c r="T23">
        <v>71.288164062500002</v>
      </c>
      <c r="U23">
        <v>56.961245399702598</v>
      </c>
      <c r="V23">
        <v>-9.9371840529395694</v>
      </c>
      <c r="W23">
        <v>16.464843616523801</v>
      </c>
      <c r="X23">
        <v>220.86293097421299</v>
      </c>
      <c r="Z23" s="4">
        <v>29.177867957925301</v>
      </c>
      <c r="AA23" s="4">
        <v>24.947585158887399</v>
      </c>
      <c r="AB23" s="4">
        <v>109.17454688318701</v>
      </c>
      <c r="AD23">
        <v>29.177867957925301</v>
      </c>
      <c r="AE23">
        <v>24.947585158887399</v>
      </c>
      <c r="AF23">
        <v>-12.916136002705599</v>
      </c>
      <c r="AG23">
        <v>122.090682885893</v>
      </c>
      <c r="AI23" s="4">
        <v>-59.523113726364102</v>
      </c>
      <c r="AJ23" s="4">
        <v>32.285548727206503</v>
      </c>
      <c r="AK23" s="4">
        <v>232.34756499915801</v>
      </c>
      <c r="AM23">
        <v>-59.523113726364102</v>
      </c>
      <c r="AN23">
        <v>32.285548727206503</v>
      </c>
      <c r="AO23">
        <v>-6.2990436565988297</v>
      </c>
      <c r="AP23">
        <v>238.64660865575601</v>
      </c>
      <c r="AR23" s="4">
        <v>37.626666239187799</v>
      </c>
      <c r="AS23" s="4">
        <v>-47.921792144332699</v>
      </c>
      <c r="AT23" s="4">
        <v>296.575125905145</v>
      </c>
      <c r="AU23" s="4">
        <f t="shared" si="1"/>
        <v>248.6533337608123</v>
      </c>
      <c r="AW23" s="4">
        <v>37.626666239187799</v>
      </c>
      <c r="AX23" s="4">
        <v>-47.921792144332699</v>
      </c>
      <c r="AY23" s="4">
        <v>296.575125905145</v>
      </c>
      <c r="AZ23" s="4">
        <f t="shared" si="2"/>
        <v>248.6533337608123</v>
      </c>
      <c r="BB23">
        <v>37.626666239187799</v>
      </c>
      <c r="BC23">
        <v>-47.921792144332699</v>
      </c>
      <c r="BD23">
        <v>-17.130275913446699</v>
      </c>
      <c r="BE23">
        <v>313.70540181859201</v>
      </c>
      <c r="BG23">
        <v>696.04275234130102</v>
      </c>
      <c r="BH23">
        <v>315.19957233700001</v>
      </c>
      <c r="BI23">
        <v>1902.8576753217001</v>
      </c>
      <c r="BK23">
        <f t="shared" si="3"/>
        <v>2218.0572476586999</v>
      </c>
      <c r="BL23">
        <v>369.367052703127</v>
      </c>
      <c r="BM23">
        <v>174.076412888954</v>
      </c>
      <c r="BN23">
        <v>-2.4928614008225098</v>
      </c>
      <c r="BO23">
        <v>1283.80939580874</v>
      </c>
      <c r="BQ23">
        <v>369.367052703127</v>
      </c>
      <c r="BR23">
        <v>174.076412888954</v>
      </c>
      <c r="BS23">
        <v>1281.31653440792</v>
      </c>
      <c r="BT23">
        <f t="shared" si="4"/>
        <v>1455.3929472968739</v>
      </c>
      <c r="BV23">
        <v>369.367052703127</v>
      </c>
      <c r="BW23">
        <v>174.076412888954</v>
      </c>
      <c r="BX23">
        <v>1281.31653440792</v>
      </c>
    </row>
    <row r="24" spans="1:76" x14ac:dyDescent="0.3">
      <c r="A24">
        <f t="shared" si="5"/>
        <v>18</v>
      </c>
      <c r="B24">
        <v>-16.642734375</v>
      </c>
      <c r="C24">
        <v>29.961020658474801</v>
      </c>
      <c r="F24">
        <f t="shared" si="0"/>
        <v>29.961020658474801</v>
      </c>
      <c r="H24">
        <v>-38.477321823180702</v>
      </c>
      <c r="I24">
        <v>50.203323193027202</v>
      </c>
      <c r="J24">
        <v>227.89399863015399</v>
      </c>
      <c r="N24">
        <v>-16.642734375</v>
      </c>
      <c r="O24">
        <v>29.961020658474801</v>
      </c>
      <c r="P24">
        <v>-10.2801387224398</v>
      </c>
      <c r="Q24">
        <v>236.581852438965</v>
      </c>
      <c r="T24">
        <v>-16.642734375</v>
      </c>
      <c r="U24">
        <v>29.961020658474801</v>
      </c>
      <c r="V24">
        <v>-10.2801387224398</v>
      </c>
      <c r="W24">
        <v>16.903647918265801</v>
      </c>
      <c r="X24">
        <v>219.67820452069901</v>
      </c>
      <c r="Z24" s="4">
        <v>18.496241025162501</v>
      </c>
      <c r="AA24" s="4">
        <v>19.916099181081201</v>
      </c>
      <c r="AB24" s="4">
        <v>110.75765979375601</v>
      </c>
      <c r="AD24">
        <v>18.496241025162501</v>
      </c>
      <c r="AE24">
        <v>19.916099181081201</v>
      </c>
      <c r="AF24">
        <v>-9.0163642873858301</v>
      </c>
      <c r="AG24">
        <v>119.774024081142</v>
      </c>
      <c r="AI24" s="4">
        <v>57.411100283444704</v>
      </c>
      <c r="AJ24" s="4">
        <v>24.207494477531199</v>
      </c>
      <c r="AK24" s="4">
        <v>236.80140523902401</v>
      </c>
      <c r="AM24">
        <v>57.411100283444704</v>
      </c>
      <c r="AN24">
        <v>24.207494477531199</v>
      </c>
      <c r="AO24">
        <v>0.813791949375966</v>
      </c>
      <c r="AP24">
        <v>235.98761328964801</v>
      </c>
      <c r="AR24" s="4">
        <v>48.166652991321698</v>
      </c>
      <c r="AS24" s="4">
        <v>-56.523472014223003</v>
      </c>
      <c r="AT24" s="4">
        <v>301.11681902290098</v>
      </c>
      <c r="AU24" s="4">
        <f t="shared" si="1"/>
        <v>244.59334700867799</v>
      </c>
      <c r="AW24" s="4">
        <v>48.166652991321698</v>
      </c>
      <c r="AX24" s="4">
        <v>-56.523472014223003</v>
      </c>
      <c r="AY24" s="4">
        <v>301.11681902290098</v>
      </c>
      <c r="AZ24" s="4">
        <f t="shared" si="2"/>
        <v>244.59334700867799</v>
      </c>
      <c r="BB24">
        <v>48.166652991321698</v>
      </c>
      <c r="BC24">
        <v>-56.523472014223003</v>
      </c>
      <c r="BD24">
        <v>-13.985223735355399</v>
      </c>
      <c r="BE24">
        <v>315.10204275825703</v>
      </c>
      <c r="BG24">
        <v>-305.68783868166599</v>
      </c>
      <c r="BH24">
        <v>311.892527676106</v>
      </c>
      <c r="BI24">
        <v>1920.4953110055601</v>
      </c>
      <c r="BK24">
        <f t="shared" si="3"/>
        <v>2232.3878386816659</v>
      </c>
      <c r="BL24">
        <v>-192.057057907444</v>
      </c>
      <c r="BM24">
        <v>134.670779399401</v>
      </c>
      <c r="BN24">
        <v>4.4785040389220399</v>
      </c>
      <c r="BO24">
        <v>1277.48777446912</v>
      </c>
      <c r="BQ24">
        <v>-192.057057907444</v>
      </c>
      <c r="BR24">
        <v>134.670779399401</v>
      </c>
      <c r="BS24">
        <v>1281.96627850804</v>
      </c>
      <c r="BT24">
        <f t="shared" si="4"/>
        <v>1416.637057907441</v>
      </c>
      <c r="BV24">
        <v>-192.057057907444</v>
      </c>
      <c r="BW24">
        <v>134.670779399401</v>
      </c>
      <c r="BX24">
        <v>1281.96627850804</v>
      </c>
    </row>
    <row r="25" spans="1:76" x14ac:dyDescent="0.3">
      <c r="A25">
        <f t="shared" si="5"/>
        <v>19</v>
      </c>
      <c r="B25">
        <v>-51.193164062500003</v>
      </c>
      <c r="C25">
        <v>-18.125735791408701</v>
      </c>
      <c r="F25">
        <f t="shared" si="0"/>
        <v>-18.125735791408701</v>
      </c>
      <c r="H25">
        <v>-72.674700716364896</v>
      </c>
      <c r="I25">
        <v>1.61734941505151</v>
      </c>
      <c r="J25">
        <v>228.71735130131299</v>
      </c>
      <c r="N25">
        <v>-51.193164062500003</v>
      </c>
      <c r="O25">
        <v>-18.125735791408701</v>
      </c>
      <c r="P25">
        <v>-8.4614910429846599</v>
      </c>
      <c r="Q25">
        <v>235.44039089689301</v>
      </c>
      <c r="T25">
        <v>-51.193164062500003</v>
      </c>
      <c r="U25">
        <v>-18.125735791408701</v>
      </c>
      <c r="V25">
        <v>-8.4614910429846599</v>
      </c>
      <c r="W25">
        <v>16.918180579421001</v>
      </c>
      <c r="X25">
        <v>218.522210317472</v>
      </c>
      <c r="Z25" s="4">
        <v>-15.7003586657206</v>
      </c>
      <c r="AA25" s="4">
        <v>8.4437968640900802</v>
      </c>
      <c r="AB25" s="4">
        <v>112.89656180163</v>
      </c>
      <c r="AD25">
        <v>-15.7003586657206</v>
      </c>
      <c r="AE25">
        <v>8.4437968640900802</v>
      </c>
      <c r="AF25">
        <v>-4.5245224802834603</v>
      </c>
      <c r="AG25">
        <v>117.42108428191401</v>
      </c>
      <c r="AI25" s="4">
        <v>-38.650249124244603</v>
      </c>
      <c r="AJ25" s="4">
        <v>-8.8209488953065396</v>
      </c>
      <c r="AK25" s="4">
        <v>241.21119801955101</v>
      </c>
      <c r="AM25">
        <v>-38.650249124244603</v>
      </c>
      <c r="AN25">
        <v>-8.8209488953065396</v>
      </c>
      <c r="AO25">
        <v>8.1419507568575202</v>
      </c>
      <c r="AP25">
        <v>233.06924726269401</v>
      </c>
      <c r="AR25" s="4">
        <v>-50.827744518270002</v>
      </c>
      <c r="AS25" s="4">
        <v>-57.446175957231901</v>
      </c>
      <c r="AT25" s="4">
        <v>306.30392047550203</v>
      </c>
      <c r="AU25" s="4">
        <f t="shared" si="1"/>
        <v>248.85774451827012</v>
      </c>
      <c r="AW25" s="4">
        <v>-50.827744518270002</v>
      </c>
      <c r="AX25" s="4">
        <v>-57.446175957231901</v>
      </c>
      <c r="AY25" s="4">
        <v>306.30392047550203</v>
      </c>
      <c r="AZ25" s="4">
        <f t="shared" si="2"/>
        <v>248.85774451827012</v>
      </c>
      <c r="BB25">
        <v>-50.827744518270002</v>
      </c>
      <c r="BC25">
        <v>-57.446175957231901</v>
      </c>
      <c r="BD25">
        <v>-10.1980424914622</v>
      </c>
      <c r="BE25">
        <v>316.50196296696402</v>
      </c>
      <c r="BG25">
        <v>-557.96271367043505</v>
      </c>
      <c r="BH25">
        <v>236.94851219463001</v>
      </c>
      <c r="BI25">
        <v>1930.0142014758001</v>
      </c>
      <c r="BK25">
        <f t="shared" si="3"/>
        <v>2166.9627136704303</v>
      </c>
      <c r="BL25">
        <v>64.375097829949496</v>
      </c>
      <c r="BM25">
        <v>-39.748243899088202</v>
      </c>
      <c r="BN25">
        <v>7.10879446633247</v>
      </c>
      <c r="BO25">
        <v>1273.0943516028101</v>
      </c>
      <c r="BQ25">
        <v>64.375097829949496</v>
      </c>
      <c r="BR25">
        <v>-39.748243899088202</v>
      </c>
      <c r="BS25">
        <v>1280.2031460691401</v>
      </c>
      <c r="BT25">
        <f t="shared" si="4"/>
        <v>1240.4549021700518</v>
      </c>
      <c r="BV25">
        <v>64.375097829949496</v>
      </c>
      <c r="BW25">
        <v>-39.748243899088202</v>
      </c>
      <c r="BX25">
        <v>1280.2031460691401</v>
      </c>
    </row>
    <row r="26" spans="1:76" x14ac:dyDescent="0.3">
      <c r="A26">
        <f t="shared" si="5"/>
        <v>20</v>
      </c>
      <c r="B26">
        <v>-49.682890624999999</v>
      </c>
      <c r="C26">
        <v>-61.0203698575692</v>
      </c>
      <c r="F26">
        <f t="shared" si="0"/>
        <v>-61.0203698575692</v>
      </c>
      <c r="H26">
        <v>-60.582121986807202</v>
      </c>
      <c r="I26">
        <v>-51.085286745429798</v>
      </c>
      <c r="J26">
        <v>229.967408732237</v>
      </c>
      <c r="N26">
        <v>-49.682890624999999</v>
      </c>
      <c r="O26">
        <v>-61.0203698575692</v>
      </c>
      <c r="P26">
        <v>-4.8745277998282903</v>
      </c>
      <c r="Q26">
        <v>233.877788282398</v>
      </c>
      <c r="T26">
        <v>-49.682890624999999</v>
      </c>
      <c r="U26">
        <v>-61.0203698575692</v>
      </c>
      <c r="V26">
        <v>-4.8745277998282903</v>
      </c>
      <c r="W26">
        <v>16.471347017749601</v>
      </c>
      <c r="X26">
        <v>217.40644126464801</v>
      </c>
      <c r="Z26" s="4">
        <v>-19.633184461101699</v>
      </c>
      <c r="AA26" s="4">
        <v>-3.5533908026322498</v>
      </c>
      <c r="AB26" s="4">
        <v>115.106575263734</v>
      </c>
      <c r="AD26">
        <v>-19.633184461101699</v>
      </c>
      <c r="AE26">
        <v>-3.5533908026322498</v>
      </c>
      <c r="AF26">
        <v>1.8136985301917499E-2</v>
      </c>
      <c r="AG26">
        <v>115.08843827843199</v>
      </c>
      <c r="AI26" s="4">
        <v>20.807844913476099</v>
      </c>
      <c r="AJ26" s="4">
        <v>-38.9758909655853</v>
      </c>
      <c r="AK26" s="4">
        <v>244.658046052109</v>
      </c>
      <c r="AM26">
        <v>20.807844913476099</v>
      </c>
      <c r="AN26">
        <v>-38.9758909655853</v>
      </c>
      <c r="AO26">
        <v>14.763947381189301</v>
      </c>
      <c r="AP26">
        <v>229.89409867091999</v>
      </c>
      <c r="AR26" s="4">
        <v>57.990180906403303</v>
      </c>
      <c r="AS26" s="4">
        <v>-47.970877536055902</v>
      </c>
      <c r="AT26" s="4">
        <v>312.13069662965302</v>
      </c>
      <c r="AU26" s="4">
        <f t="shared" si="1"/>
        <v>264.15981909359709</v>
      </c>
      <c r="AW26" s="4">
        <v>57.990180906403303</v>
      </c>
      <c r="AX26" s="4">
        <v>-47.970877536055902</v>
      </c>
      <c r="AY26" s="4">
        <v>312.13069662965302</v>
      </c>
      <c r="AZ26" s="4">
        <f t="shared" si="2"/>
        <v>264.15981909359709</v>
      </c>
      <c r="BB26">
        <v>57.990180906403303</v>
      </c>
      <c r="BC26">
        <v>-47.970877536055902</v>
      </c>
      <c r="BD26">
        <v>-5.7680401639587604</v>
      </c>
      <c r="BE26">
        <v>317.89873679361102</v>
      </c>
      <c r="BG26">
        <v>-476.77869637537299</v>
      </c>
      <c r="BH26">
        <v>105.50694574402399</v>
      </c>
      <c r="BI26">
        <v>1939.8717506313501</v>
      </c>
      <c r="BK26">
        <f t="shared" si="3"/>
        <v>2045.3786963753741</v>
      </c>
      <c r="BL26">
        <v>-80.264674926819794</v>
      </c>
      <c r="BM26">
        <v>-75.595267216040895</v>
      </c>
      <c r="BN26">
        <v>4.9001175611679999</v>
      </c>
      <c r="BO26">
        <v>1270.9098245816899</v>
      </c>
      <c r="BQ26">
        <v>-80.264674926819794</v>
      </c>
      <c r="BR26">
        <v>-75.595267216040895</v>
      </c>
      <c r="BS26">
        <v>1275.8099421428601</v>
      </c>
      <c r="BT26">
        <f t="shared" si="4"/>
        <v>1200.2146749268193</v>
      </c>
      <c r="BV26">
        <v>-80.264674926819794</v>
      </c>
      <c r="BW26">
        <v>-75.595267216040895</v>
      </c>
      <c r="BX26">
        <v>1275.8099421428601</v>
      </c>
    </row>
    <row r="27" spans="1:76" x14ac:dyDescent="0.3">
      <c r="A27">
        <f t="shared" si="5"/>
        <v>21</v>
      </c>
      <c r="B27">
        <v>45.091371086150403</v>
      </c>
      <c r="C27">
        <v>-71.647278221278199</v>
      </c>
      <c r="F27">
        <f t="shared" si="0"/>
        <v>-71.647278221278199</v>
      </c>
      <c r="H27">
        <v>48.332992822818397</v>
      </c>
      <c r="I27">
        <v>-73.846197125533394</v>
      </c>
      <c r="J27">
        <v>230.913204302715</v>
      </c>
      <c r="N27">
        <v>45.091371086150403</v>
      </c>
      <c r="O27">
        <v>-71.647278221278199</v>
      </c>
      <c r="P27">
        <v>1.26246114696347E-2</v>
      </c>
      <c r="Q27">
        <v>231.94328252365801</v>
      </c>
      <c r="T27">
        <v>45.091371086150403</v>
      </c>
      <c r="U27">
        <v>-71.647278221278199</v>
      </c>
      <c r="V27">
        <v>1.26246114696347E-2</v>
      </c>
      <c r="W27">
        <v>15.600892261317499</v>
      </c>
      <c r="X27">
        <v>216.34239026234101</v>
      </c>
      <c r="Z27" s="4">
        <v>20.3757046515443</v>
      </c>
      <c r="AA27" s="4">
        <v>-13.9387271885355</v>
      </c>
      <c r="AB27" s="4">
        <v>116.903022536991</v>
      </c>
      <c r="AD27">
        <v>20.3757046515443</v>
      </c>
      <c r="AE27">
        <v>-13.9387271885355</v>
      </c>
      <c r="AF27">
        <v>4.0703616760707604</v>
      </c>
      <c r="AG27">
        <v>112.83266086092</v>
      </c>
      <c r="AI27" s="4">
        <v>-10.880828724352501</v>
      </c>
      <c r="AJ27" s="4">
        <v>-37.367777459354699</v>
      </c>
      <c r="AK27" s="4">
        <v>246.33860618370699</v>
      </c>
      <c r="AM27">
        <v>-10.880828724352501</v>
      </c>
      <c r="AN27">
        <v>-37.367777459354699</v>
      </c>
      <c r="AO27">
        <v>19.873850573352801</v>
      </c>
      <c r="AP27">
        <v>226.46475561035399</v>
      </c>
      <c r="AR27" s="4">
        <v>5.3892063913332802</v>
      </c>
      <c r="AS27" s="4">
        <v>-30.8364178879328</v>
      </c>
      <c r="AT27" s="4">
        <v>318.48721149660003</v>
      </c>
      <c r="AU27" s="4">
        <f t="shared" si="1"/>
        <v>287.65079360866724</v>
      </c>
      <c r="AW27" s="4">
        <v>5.3892063913332802</v>
      </c>
      <c r="AX27" s="4">
        <v>-30.8364178879328</v>
      </c>
      <c r="AY27" s="4">
        <v>318.48721149660003</v>
      </c>
      <c r="AZ27" s="4">
        <f t="shared" si="2"/>
        <v>287.65079360866724</v>
      </c>
      <c r="BB27">
        <v>5.3892063913332802</v>
      </c>
      <c r="BC27">
        <v>-30.8364178879328</v>
      </c>
      <c r="BD27">
        <v>-0.79872709049603696</v>
      </c>
      <c r="BE27">
        <v>319.28593858709598</v>
      </c>
      <c r="BG27">
        <v>-149.564591276351</v>
      </c>
      <c r="BH27">
        <v>-28.502557213679999</v>
      </c>
      <c r="BI27">
        <v>1949.96714849003</v>
      </c>
      <c r="BK27">
        <f t="shared" si="3"/>
        <v>1921.4645912763501</v>
      </c>
      <c r="BL27">
        <v>175.649381478398</v>
      </c>
      <c r="BM27">
        <v>-6.7597612572203802</v>
      </c>
      <c r="BN27">
        <v>-1.37325581163776</v>
      </c>
      <c r="BO27">
        <v>1270.90363559046</v>
      </c>
      <c r="BQ27">
        <v>175.649381478398</v>
      </c>
      <c r="BR27">
        <v>-6.7597612572203802</v>
      </c>
      <c r="BS27">
        <v>1269.5303797788199</v>
      </c>
      <c r="BT27">
        <f t="shared" si="4"/>
        <v>1262.7706185215995</v>
      </c>
      <c r="BV27">
        <v>175.649381478398</v>
      </c>
      <c r="BW27">
        <v>-6.7597612572203802</v>
      </c>
      <c r="BX27">
        <v>1269.5303797788199</v>
      </c>
    </row>
    <row r="28" spans="1:76" x14ac:dyDescent="0.3">
      <c r="A28">
        <f t="shared" si="5"/>
        <v>22</v>
      </c>
      <c r="B28">
        <v>-35.750848976794899</v>
      </c>
      <c r="C28">
        <v>-47.466432884383302</v>
      </c>
      <c r="F28">
        <f t="shared" si="0"/>
        <v>-47.466432884383302</v>
      </c>
      <c r="H28">
        <v>-25.707258371602201</v>
      </c>
      <c r="I28">
        <v>-54.089151800972402</v>
      </c>
      <c r="J28">
        <v>230.88641017257501</v>
      </c>
      <c r="N28">
        <v>-35.750848976794899</v>
      </c>
      <c r="O28">
        <v>-47.466432884383302</v>
      </c>
      <c r="P28">
        <v>4.6211703123219996</v>
      </c>
      <c r="Q28">
        <v>229.68611154885599</v>
      </c>
      <c r="T28">
        <v>-35.750848976794899</v>
      </c>
      <c r="U28">
        <v>-47.466432884383302</v>
      </c>
      <c r="V28">
        <v>4.6211703123219996</v>
      </c>
      <c r="W28">
        <v>14.344561338190699</v>
      </c>
      <c r="X28">
        <v>215.34155021066601</v>
      </c>
      <c r="Z28" s="4">
        <v>18.2316620594551</v>
      </c>
      <c r="AA28" s="4">
        <v>-16.112888037781399</v>
      </c>
      <c r="AB28" s="4">
        <v>117.801225978326</v>
      </c>
      <c r="AD28">
        <v>18.2316620594551</v>
      </c>
      <c r="AE28">
        <v>-16.112888037781399</v>
      </c>
      <c r="AF28">
        <v>7.0908991587235697</v>
      </c>
      <c r="AG28">
        <v>110.710326819603</v>
      </c>
      <c r="AI28" s="4">
        <v>12.8329495660129</v>
      </c>
      <c r="AJ28" s="4">
        <v>-6.9847013699198701</v>
      </c>
      <c r="AK28" s="4">
        <v>245.91175180390701</v>
      </c>
      <c r="AM28">
        <v>12.8329495660129</v>
      </c>
      <c r="AN28">
        <v>-6.9847013699198701</v>
      </c>
      <c r="AO28">
        <v>23.121763972608001</v>
      </c>
      <c r="AP28">
        <v>222.78998783129899</v>
      </c>
      <c r="AR28" s="4">
        <v>-25.321733998567701</v>
      </c>
      <c r="AS28" s="4">
        <v>-10.951141322240099</v>
      </c>
      <c r="AT28" s="4">
        <v>325.24287532080803</v>
      </c>
      <c r="AU28" s="4">
        <f t="shared" si="1"/>
        <v>314.29173399856791</v>
      </c>
      <c r="AW28" s="4">
        <v>-25.321733998567701</v>
      </c>
      <c r="AX28" s="4">
        <v>-10.951141322240099</v>
      </c>
      <c r="AY28" s="4">
        <v>325.24287532080803</v>
      </c>
      <c r="AZ28" s="4">
        <f t="shared" si="2"/>
        <v>314.29173399856791</v>
      </c>
      <c r="BB28">
        <v>-25.321733998567701</v>
      </c>
      <c r="BC28">
        <v>-10.951141322240099</v>
      </c>
      <c r="BD28">
        <v>4.58573262449341</v>
      </c>
      <c r="BE28">
        <v>320.657142696314</v>
      </c>
      <c r="BG28">
        <v>296.04407679289</v>
      </c>
      <c r="BH28">
        <v>-108.54366186258601</v>
      </c>
      <c r="BI28">
        <v>1960.1995850697001</v>
      </c>
      <c r="BK28">
        <f t="shared" si="3"/>
        <v>1851.655923207114</v>
      </c>
      <c r="BL28">
        <v>130.56107386019499</v>
      </c>
      <c r="BM28">
        <v>29.5471221213352</v>
      </c>
      <c r="BN28">
        <v>-7.0384754574769302</v>
      </c>
      <c r="BO28">
        <v>1272.99027947595</v>
      </c>
      <c r="BQ28">
        <v>130.56107386019499</v>
      </c>
      <c r="BR28">
        <v>29.5471221213352</v>
      </c>
      <c r="BS28">
        <v>1265.9518040184701</v>
      </c>
      <c r="BT28">
        <f t="shared" si="4"/>
        <v>1295.4989261398052</v>
      </c>
      <c r="BV28">
        <v>130.56107386019499</v>
      </c>
      <c r="BW28">
        <v>29.5471221213352</v>
      </c>
      <c r="BX28">
        <v>1265.9518040184701</v>
      </c>
    </row>
    <row r="29" spans="1:76" x14ac:dyDescent="0.3">
      <c r="A29">
        <f t="shared" si="5"/>
        <v>23</v>
      </c>
      <c r="B29">
        <v>-64.235585185758495</v>
      </c>
      <c r="C29">
        <v>-5.2152891005313</v>
      </c>
      <c r="F29">
        <f t="shared" si="0"/>
        <v>-5.2152891005313</v>
      </c>
      <c r="H29">
        <v>-54.688122709323899</v>
      </c>
      <c r="I29">
        <v>-9.5311309124668604</v>
      </c>
      <c r="J29">
        <v>229.46925362179101</v>
      </c>
      <c r="N29">
        <v>-64.235585185758495</v>
      </c>
      <c r="O29">
        <v>-5.2152891005313</v>
      </c>
      <c r="P29">
        <v>7.5453610001174098</v>
      </c>
      <c r="Q29">
        <v>227.15551328617201</v>
      </c>
      <c r="T29">
        <v>-64.235585185758495</v>
      </c>
      <c r="U29">
        <v>-5.2152891005313</v>
      </c>
      <c r="V29">
        <v>7.5453610001174098</v>
      </c>
      <c r="W29">
        <v>12.740099276435</v>
      </c>
      <c r="X29">
        <v>214.41541400973699</v>
      </c>
      <c r="Z29" s="4">
        <v>-36.099252218227498</v>
      </c>
      <c r="AA29" s="4">
        <v>-7.0225895794929896</v>
      </c>
      <c r="AB29" s="4">
        <v>117.68184179772</v>
      </c>
      <c r="AD29">
        <v>-36.099252218227498</v>
      </c>
      <c r="AE29">
        <v>-7.0225895794929896</v>
      </c>
      <c r="AF29">
        <v>9.0778860488366107</v>
      </c>
      <c r="AG29">
        <v>108.603955748884</v>
      </c>
      <c r="AI29" s="4">
        <v>-23.707184802328001</v>
      </c>
      <c r="AJ29" s="4">
        <v>30.1952743644195</v>
      </c>
      <c r="AK29" s="4">
        <v>243.15191043790799</v>
      </c>
      <c r="AM29">
        <v>-23.707184802328001</v>
      </c>
      <c r="AN29">
        <v>30.1952743644195</v>
      </c>
      <c r="AO29">
        <v>24.248618736754501</v>
      </c>
      <c r="AP29">
        <v>218.90329170115399</v>
      </c>
      <c r="AR29" s="4">
        <v>-99.913269350496705</v>
      </c>
      <c r="AS29" s="4">
        <v>6.5261710037540297</v>
      </c>
      <c r="AT29" s="4">
        <v>332.26709834674301</v>
      </c>
      <c r="AU29" s="4">
        <f t="shared" si="1"/>
        <v>338.79326935049704</v>
      </c>
      <c r="AW29" s="4">
        <v>-99.913269350496705</v>
      </c>
      <c r="AX29" s="4">
        <v>6.5261710037540297</v>
      </c>
      <c r="AY29" s="4">
        <v>332.26709834674301</v>
      </c>
      <c r="AZ29" s="4">
        <f t="shared" si="2"/>
        <v>338.79326935049704</v>
      </c>
      <c r="BB29">
        <v>-99.913269350496705</v>
      </c>
      <c r="BC29">
        <v>6.5261710037540297</v>
      </c>
      <c r="BD29">
        <v>10.2611748765774</v>
      </c>
      <c r="BE29">
        <v>322.00592347016499</v>
      </c>
      <c r="BG29">
        <v>-207.016256785514</v>
      </c>
      <c r="BH29">
        <v>-154.25199360266799</v>
      </c>
      <c r="BI29">
        <v>1970.46825038818</v>
      </c>
      <c r="BK29">
        <f t="shared" si="3"/>
        <v>1816.2162567855121</v>
      </c>
      <c r="BL29">
        <v>-359.61491831416402</v>
      </c>
      <c r="BM29">
        <v>22.5542811262521</v>
      </c>
      <c r="BN29">
        <v>-7.7280606381874097</v>
      </c>
      <c r="BO29">
        <v>1277.0386978260999</v>
      </c>
      <c r="BQ29">
        <v>-359.61491831416402</v>
      </c>
      <c r="BR29">
        <v>22.5542811262521</v>
      </c>
      <c r="BS29">
        <v>1269.3106371879101</v>
      </c>
      <c r="BT29">
        <f t="shared" si="4"/>
        <v>1291.8649183141622</v>
      </c>
      <c r="BV29">
        <v>-359.61491831416402</v>
      </c>
      <c r="BW29">
        <v>22.5542811262521</v>
      </c>
      <c r="BX29">
        <v>1269.3106371879101</v>
      </c>
    </row>
    <row r="30" spans="1:76" x14ac:dyDescent="0.3">
      <c r="A30">
        <f t="shared" si="5"/>
        <v>24</v>
      </c>
      <c r="B30">
        <v>-25.074468634108602</v>
      </c>
      <c r="C30">
        <v>44.097101327060997</v>
      </c>
      <c r="F30">
        <f t="shared" si="0"/>
        <v>44.097101327060997</v>
      </c>
      <c r="H30">
        <v>-14.5371160619794</v>
      </c>
      <c r="I30">
        <v>40.230515351604403</v>
      </c>
      <c r="J30">
        <v>226.30660071037499</v>
      </c>
      <c r="N30">
        <v>-25.074468634108602</v>
      </c>
      <c r="O30">
        <v>44.097101327060997</v>
      </c>
      <c r="P30">
        <v>9.0973391298444302</v>
      </c>
      <c r="Q30">
        <v>223.880028177203</v>
      </c>
      <c r="T30">
        <v>-25.074468634108602</v>
      </c>
      <c r="U30">
        <v>44.097101327060997</v>
      </c>
      <c r="V30">
        <v>9.0973391298444302</v>
      </c>
      <c r="W30">
        <v>10.3045536175319</v>
      </c>
      <c r="X30">
        <v>213.57547455967099</v>
      </c>
      <c r="Z30" s="4">
        <v>-0.131052214156302</v>
      </c>
      <c r="AA30" s="4">
        <v>6.4648375099587696</v>
      </c>
      <c r="AB30" s="4">
        <v>116.79621470419799</v>
      </c>
      <c r="AD30">
        <v>-0.131052214156302</v>
      </c>
      <c r="AE30">
        <v>6.4648375099587696</v>
      </c>
      <c r="AF30">
        <v>10.387176695068799</v>
      </c>
      <c r="AG30">
        <v>106.40903800912901</v>
      </c>
      <c r="AI30" s="4">
        <v>-49.836204875425601</v>
      </c>
      <c r="AJ30" s="4">
        <v>49.932695264513598</v>
      </c>
      <c r="AK30" s="4">
        <v>237.83350961091199</v>
      </c>
      <c r="AM30">
        <v>-49.836204875425601</v>
      </c>
      <c r="AN30">
        <v>49.932695264513598</v>
      </c>
      <c r="AO30">
        <v>22.988273738809202</v>
      </c>
      <c r="AP30">
        <v>214.84523587210299</v>
      </c>
      <c r="AR30" s="4">
        <v>40.289770129322299</v>
      </c>
      <c r="AS30" s="4">
        <v>17.280939051808701</v>
      </c>
      <c r="AT30" s="4">
        <v>339.42929081886899</v>
      </c>
      <c r="AU30" s="4">
        <f t="shared" si="1"/>
        <v>356.71022987067772</v>
      </c>
      <c r="AW30" s="4">
        <v>40.289770129322299</v>
      </c>
      <c r="AX30" s="4">
        <v>17.280939051808701</v>
      </c>
      <c r="AY30" s="4">
        <v>339.42929081886899</v>
      </c>
      <c r="AZ30" s="4">
        <f t="shared" si="2"/>
        <v>356.71022987067772</v>
      </c>
      <c r="BB30">
        <v>40.289770129322299</v>
      </c>
      <c r="BC30">
        <v>17.280939051808701</v>
      </c>
      <c r="BD30">
        <v>16.1034355613237</v>
      </c>
      <c r="BE30">
        <v>323.32585525754502</v>
      </c>
      <c r="BG30">
        <v>-238.35240379666999</v>
      </c>
      <c r="BH30">
        <v>-205.85993066666299</v>
      </c>
      <c r="BI30">
        <v>1980.6723344633299</v>
      </c>
      <c r="BK30">
        <f t="shared" si="3"/>
        <v>1774.8124037966668</v>
      </c>
      <c r="BL30">
        <v>-368.723535461398</v>
      </c>
      <c r="BM30">
        <v>1.2975567013195599</v>
      </c>
      <c r="BN30">
        <v>-4.1396404332264902</v>
      </c>
      <c r="BO30">
        <v>1282.7356191933</v>
      </c>
      <c r="BQ30">
        <v>-368.723535461398</v>
      </c>
      <c r="BR30">
        <v>1.2975567013195599</v>
      </c>
      <c r="BS30">
        <v>1278.59597876008</v>
      </c>
      <c r="BT30">
        <f t="shared" si="4"/>
        <v>1279.8935354613996</v>
      </c>
      <c r="BV30">
        <v>-368.723535461398</v>
      </c>
      <c r="BW30">
        <v>1.2975567013195599</v>
      </c>
      <c r="BX30">
        <v>1278.59597876008</v>
      </c>
    </row>
    <row r="31" spans="1:76" x14ac:dyDescent="0.3">
      <c r="A31">
        <f t="shared" si="5"/>
        <v>25</v>
      </c>
      <c r="B31">
        <v>13.752326623101499</v>
      </c>
      <c r="C31">
        <v>82.710229556861904</v>
      </c>
      <c r="F31">
        <f t="shared" si="0"/>
        <v>82.710229556861904</v>
      </c>
      <c r="H31">
        <v>23.331188636765201</v>
      </c>
      <c r="I31">
        <v>81.0654938648957</v>
      </c>
      <c r="J31">
        <v>221.04331749833901</v>
      </c>
      <c r="N31">
        <v>13.752326623101499</v>
      </c>
      <c r="O31">
        <v>82.710229556861904</v>
      </c>
      <c r="P31">
        <v>9.4663673782675506</v>
      </c>
      <c r="Q31">
        <v>219.51107644176901</v>
      </c>
      <c r="T31">
        <v>13.752326623101499</v>
      </c>
      <c r="U31">
        <v>82.710229556861904</v>
      </c>
      <c r="V31">
        <v>9.4663673782675506</v>
      </c>
      <c r="W31">
        <v>6.6778516811870299</v>
      </c>
      <c r="X31">
        <v>212.833224760582</v>
      </c>
      <c r="Z31" s="4">
        <v>46.206494425685598</v>
      </c>
      <c r="AA31" s="4">
        <v>13.287805771068401</v>
      </c>
      <c r="AB31" s="4">
        <v>115.215699803246</v>
      </c>
      <c r="AD31">
        <v>46.206494425685598</v>
      </c>
      <c r="AE31">
        <v>13.287805771068401</v>
      </c>
      <c r="AF31">
        <v>11.0140952637443</v>
      </c>
      <c r="AG31">
        <v>104.201604539502</v>
      </c>
      <c r="AI31" s="4">
        <v>43.712762204843798</v>
      </c>
      <c r="AJ31" s="4">
        <v>34.332333577732697</v>
      </c>
      <c r="AK31" s="4">
        <v>229.88490421742401</v>
      </c>
      <c r="AM31">
        <v>43.712762204843798</v>
      </c>
      <c r="AN31">
        <v>34.332333577732697</v>
      </c>
      <c r="AO31">
        <v>19.224952699061902</v>
      </c>
      <c r="AP31">
        <v>210.65995151836199</v>
      </c>
      <c r="AR31" s="4">
        <v>137.875749758556</v>
      </c>
      <c r="AS31" s="4">
        <v>20.3753872597918</v>
      </c>
      <c r="AT31" s="4">
        <v>346.59886298165202</v>
      </c>
      <c r="AU31" s="4">
        <f t="shared" si="1"/>
        <v>366.97425024144383</v>
      </c>
      <c r="AW31" s="4">
        <v>137.875749758556</v>
      </c>
      <c r="AX31" s="4">
        <v>20.3753872597918</v>
      </c>
      <c r="AY31" s="4">
        <v>346.59886298165202</v>
      </c>
      <c r="AZ31" s="4">
        <f t="shared" si="2"/>
        <v>366.97425024144383</v>
      </c>
      <c r="BB31">
        <v>137.875749758556</v>
      </c>
      <c r="BC31">
        <v>20.3753872597918</v>
      </c>
      <c r="BD31">
        <v>21.988350574299901</v>
      </c>
      <c r="BE31">
        <v>324.61051240735202</v>
      </c>
      <c r="BG31">
        <v>247.470212729797</v>
      </c>
      <c r="BH31">
        <v>-277.03124004278499</v>
      </c>
      <c r="BI31">
        <v>1990.7110273129899</v>
      </c>
      <c r="BK31">
        <f t="shared" si="3"/>
        <v>1713.679787270205</v>
      </c>
      <c r="BL31">
        <v>372.28016752857201</v>
      </c>
      <c r="BM31">
        <v>-8.7406040012022892</v>
      </c>
      <c r="BN31">
        <v>1.90821760157292</v>
      </c>
      <c r="BO31">
        <v>1289.72221887106</v>
      </c>
      <c r="BQ31">
        <v>372.28016752857201</v>
      </c>
      <c r="BR31">
        <v>-8.7406040012022892</v>
      </c>
      <c r="BS31">
        <v>1291.63043647263</v>
      </c>
      <c r="BT31">
        <f t="shared" si="4"/>
        <v>1282.8898324714278</v>
      </c>
      <c r="BV31">
        <v>372.28016752857201</v>
      </c>
      <c r="BW31">
        <v>-8.7406040012022892</v>
      </c>
      <c r="BX31">
        <v>1291.63043647263</v>
      </c>
    </row>
    <row r="32" spans="1:76" x14ac:dyDescent="0.3">
      <c r="A32">
        <f t="shared" si="5"/>
        <v>26</v>
      </c>
      <c r="B32">
        <v>119.210977012108</v>
      </c>
      <c r="C32">
        <v>95.5872362660498</v>
      </c>
      <c r="F32">
        <f t="shared" si="0"/>
        <v>95.5872362660498</v>
      </c>
      <c r="H32">
        <v>124.049395179716</v>
      </c>
      <c r="I32">
        <v>99.966334774589697</v>
      </c>
      <c r="J32">
        <v>213.32427004569399</v>
      </c>
      <c r="N32">
        <v>119.210977012108</v>
      </c>
      <c r="O32">
        <v>95.5872362660498</v>
      </c>
      <c r="P32">
        <v>8.2339470254120606</v>
      </c>
      <c r="Q32">
        <v>214.30783969642999</v>
      </c>
      <c r="T32">
        <v>119.210977012108</v>
      </c>
      <c r="U32">
        <v>95.5872362660498</v>
      </c>
      <c r="V32">
        <v>8.2339470254120606</v>
      </c>
      <c r="W32">
        <v>2.1076821838450601</v>
      </c>
      <c r="X32">
        <v>212.20015751258501</v>
      </c>
      <c r="Z32" s="4">
        <v>35.889565218113098</v>
      </c>
      <c r="AA32" s="4">
        <v>12.938129877797101</v>
      </c>
      <c r="AB32" s="4">
        <v>111.87230490409</v>
      </c>
      <c r="AD32">
        <v>35.889565218113098</v>
      </c>
      <c r="AE32">
        <v>12.938129877797101</v>
      </c>
      <c r="AF32">
        <v>9.8252818229433707</v>
      </c>
      <c r="AG32">
        <v>102.04702308114599</v>
      </c>
      <c r="AI32" s="4">
        <v>89.982640977154006</v>
      </c>
      <c r="AJ32" s="4">
        <v>-7.3427996063276302</v>
      </c>
      <c r="AK32" s="4">
        <v>219.85015862917399</v>
      </c>
      <c r="AM32">
        <v>89.982640977154006</v>
      </c>
      <c r="AN32">
        <v>-7.3427996063276302</v>
      </c>
      <c r="AO32">
        <v>13.4576981845187</v>
      </c>
      <c r="AP32">
        <v>206.392460444655</v>
      </c>
      <c r="AR32" s="4">
        <v>5.2607407630282799</v>
      </c>
      <c r="AS32" s="4">
        <v>16.310038221883701</v>
      </c>
      <c r="AT32" s="4">
        <v>353.609221015088</v>
      </c>
      <c r="AU32" s="4">
        <f t="shared" si="1"/>
        <v>369.9192592369717</v>
      </c>
      <c r="AW32" s="4">
        <v>5.2607407630282799</v>
      </c>
      <c r="AX32" s="4">
        <v>16.310038221883701</v>
      </c>
      <c r="AY32" s="4">
        <v>353.609221015088</v>
      </c>
      <c r="AZ32" s="4">
        <f t="shared" si="2"/>
        <v>369.9192592369717</v>
      </c>
      <c r="BB32">
        <v>5.2607407630282799</v>
      </c>
      <c r="BC32">
        <v>16.310038221883701</v>
      </c>
      <c r="BD32">
        <v>27.755751746605</v>
      </c>
      <c r="BE32">
        <v>325.85346926848302</v>
      </c>
      <c r="BG32">
        <v>0.73322533349779895</v>
      </c>
      <c r="BH32">
        <v>-354.56674428848697</v>
      </c>
      <c r="BI32">
        <v>2000.4835189549899</v>
      </c>
      <c r="BK32">
        <f t="shared" si="3"/>
        <v>1645.916774666503</v>
      </c>
      <c r="BL32">
        <v>187.85221757494</v>
      </c>
      <c r="BM32">
        <v>-3.5858649818648898</v>
      </c>
      <c r="BN32">
        <v>8.9739752540722701</v>
      </c>
      <c r="BO32">
        <v>1297.6396721528499</v>
      </c>
      <c r="BQ32">
        <v>187.85221757494</v>
      </c>
      <c r="BR32">
        <v>-3.5858649818648898</v>
      </c>
      <c r="BS32">
        <v>1306.6136474069301</v>
      </c>
      <c r="BT32">
        <f t="shared" si="4"/>
        <v>1303.0277824250652</v>
      </c>
      <c r="BV32">
        <v>187.85221757494</v>
      </c>
      <c r="BW32">
        <v>-3.5858649818648898</v>
      </c>
      <c r="BX32">
        <v>1306.6136474069301</v>
      </c>
    </row>
    <row r="33" spans="1:76" x14ac:dyDescent="0.3">
      <c r="A33">
        <f t="shared" si="5"/>
        <v>27</v>
      </c>
      <c r="B33">
        <v>-148.297448806299</v>
      </c>
      <c r="C33">
        <v>83.198777284099606</v>
      </c>
      <c r="F33">
        <f t="shared" si="0"/>
        <v>83.198777284099606</v>
      </c>
      <c r="H33">
        <v>-141.68843293533601</v>
      </c>
      <c r="I33">
        <v>87.103005738905296</v>
      </c>
      <c r="J33">
        <v>202.97542719642999</v>
      </c>
      <c r="N33">
        <v>-148.297448806299</v>
      </c>
      <c r="O33">
        <v>83.198777284099606</v>
      </c>
      <c r="P33">
        <v>4.9164700474859897</v>
      </c>
      <c r="Q33">
        <v>208.57220147471301</v>
      </c>
      <c r="T33">
        <v>-148.297448806299</v>
      </c>
      <c r="U33">
        <v>83.198777284099606</v>
      </c>
      <c r="V33">
        <v>4.9164700474859897</v>
      </c>
      <c r="W33">
        <v>-3.1155642410806701</v>
      </c>
      <c r="X33">
        <v>211.687765715794</v>
      </c>
      <c r="Z33" s="4">
        <v>-33.629931823165599</v>
      </c>
      <c r="AA33" s="4">
        <v>10.5274760478845</v>
      </c>
      <c r="AB33" s="4">
        <v>106.692455775281</v>
      </c>
      <c r="AD33">
        <v>-33.629931823165599</v>
      </c>
      <c r="AE33">
        <v>10.5274760478845</v>
      </c>
      <c r="AF33">
        <v>6.6897868514921202</v>
      </c>
      <c r="AG33">
        <v>100.002668923789</v>
      </c>
      <c r="AI33" s="4">
        <v>-88.118454609387797</v>
      </c>
      <c r="AJ33" s="4">
        <v>-47.178809977810999</v>
      </c>
      <c r="AK33" s="4">
        <v>208.42726458719901</v>
      </c>
      <c r="AM33">
        <v>-88.118454609387797</v>
      </c>
      <c r="AN33">
        <v>-47.178809977810999</v>
      </c>
      <c r="AO33">
        <v>6.3394801314918601</v>
      </c>
      <c r="AP33">
        <v>202.08778445570701</v>
      </c>
      <c r="AR33" s="4">
        <v>-173.75155752270399</v>
      </c>
      <c r="AS33" s="4">
        <v>7.9682991450790901</v>
      </c>
      <c r="AT33" s="4">
        <v>360.14325837762499</v>
      </c>
      <c r="AU33" s="4">
        <f t="shared" si="1"/>
        <v>368.11155752270406</v>
      </c>
      <c r="AW33" s="4">
        <v>-173.75155752270399</v>
      </c>
      <c r="AX33" s="4">
        <v>7.9682991450790901</v>
      </c>
      <c r="AY33" s="4">
        <v>360.14325837762499</v>
      </c>
      <c r="AZ33" s="4">
        <f t="shared" si="2"/>
        <v>368.11155752270406</v>
      </c>
      <c r="BB33">
        <v>-173.75155752270399</v>
      </c>
      <c r="BC33">
        <v>7.9682991450790901</v>
      </c>
      <c r="BD33">
        <v>33.0949581877897</v>
      </c>
      <c r="BE33">
        <v>327.048300189835</v>
      </c>
      <c r="BG33">
        <v>-288.93069074089698</v>
      </c>
      <c r="BH33">
        <v>-391.09830866628101</v>
      </c>
      <c r="BI33">
        <v>2009.8889994071801</v>
      </c>
      <c r="BK33">
        <f t="shared" si="3"/>
        <v>1618.7906907408992</v>
      </c>
      <c r="BL33">
        <v>-199.99531406852799</v>
      </c>
      <c r="BM33">
        <v>7.6820327198736598</v>
      </c>
      <c r="BN33">
        <v>14.944127016468199</v>
      </c>
      <c r="BO33">
        <v>1306.12915433219</v>
      </c>
      <c r="BQ33">
        <v>-199.99531406852799</v>
      </c>
      <c r="BR33">
        <v>7.6820327198736598</v>
      </c>
      <c r="BS33">
        <v>1321.07328134865</v>
      </c>
      <c r="BT33">
        <f t="shared" si="4"/>
        <v>1328.7553140685236</v>
      </c>
      <c r="BV33">
        <v>-199.99531406852799</v>
      </c>
      <c r="BW33">
        <v>7.6820327198736598</v>
      </c>
      <c r="BX33">
        <v>1321.07328134865</v>
      </c>
    </row>
    <row r="34" spans="1:76" x14ac:dyDescent="0.3">
      <c r="A34">
        <f t="shared" si="5"/>
        <v>28</v>
      </c>
      <c r="B34">
        <v>-131.769250447882</v>
      </c>
      <c r="C34">
        <v>59.037304009688903</v>
      </c>
      <c r="F34">
        <f t="shared" si="0"/>
        <v>59.037304009688903</v>
      </c>
      <c r="H34">
        <v>-106.07148706784901</v>
      </c>
      <c r="I34">
        <v>45.314318137403802</v>
      </c>
      <c r="J34">
        <v>190.547168930445</v>
      </c>
      <c r="N34">
        <v>-131.769250447882</v>
      </c>
      <c r="O34">
        <v>59.037304009688903</v>
      </c>
      <c r="P34">
        <v>-8.40988719547546E-2</v>
      </c>
      <c r="Q34">
        <v>202.60604531014801</v>
      </c>
      <c r="T34">
        <v>-131.769250447882</v>
      </c>
      <c r="U34">
        <v>59.037304009688903</v>
      </c>
      <c r="V34">
        <v>-8.40988719547546E-2</v>
      </c>
      <c r="W34">
        <v>-8.7014969601770105</v>
      </c>
      <c r="X34">
        <v>211.307542270325</v>
      </c>
      <c r="Z34" s="4">
        <v>-43.129405351163904</v>
      </c>
      <c r="AA34" s="4">
        <v>6.1606277681909196</v>
      </c>
      <c r="AB34" s="4">
        <v>100.978777582973</v>
      </c>
      <c r="AD34">
        <v>-43.129405351163904</v>
      </c>
      <c r="AE34">
        <v>6.1606277681909196</v>
      </c>
      <c r="AF34">
        <v>2.8461932535071002</v>
      </c>
      <c r="AG34">
        <v>98.132584329465899</v>
      </c>
      <c r="AI34" s="4">
        <v>72.823270365655304</v>
      </c>
      <c r="AJ34" s="4">
        <v>-53.507484198191001</v>
      </c>
      <c r="AK34" s="4">
        <v>196.31421383253601</v>
      </c>
      <c r="AM34">
        <v>72.823270365655304</v>
      </c>
      <c r="AN34">
        <v>-53.507484198191001</v>
      </c>
      <c r="AO34">
        <v>-1.4767315237065199</v>
      </c>
      <c r="AP34">
        <v>197.79094535624199</v>
      </c>
      <c r="AR34" s="4">
        <v>-171.62553873690101</v>
      </c>
      <c r="AS34" s="4">
        <v>-1.1463398716547399</v>
      </c>
      <c r="AT34" s="4">
        <v>365.82187860855498</v>
      </c>
      <c r="AU34" s="4">
        <f t="shared" si="1"/>
        <v>364.67553873690025</v>
      </c>
      <c r="AW34" s="4">
        <v>-171.62553873690101</v>
      </c>
      <c r="AX34" s="4">
        <v>-1.1463398716547399</v>
      </c>
      <c r="AY34" s="4">
        <v>365.82187860855498</v>
      </c>
      <c r="AZ34" s="4">
        <f t="shared" si="2"/>
        <v>364.67553873690025</v>
      </c>
      <c r="BB34">
        <v>-171.62553873690101</v>
      </c>
      <c r="BC34">
        <v>-1.1463398716547399</v>
      </c>
      <c r="BD34">
        <v>37.633299088248698</v>
      </c>
      <c r="BE34">
        <v>328.18857952030697</v>
      </c>
      <c r="BG34">
        <v>-306.25454050250403</v>
      </c>
      <c r="BH34">
        <v>-350.10124749146303</v>
      </c>
      <c r="BI34">
        <v>2019.26578799397</v>
      </c>
      <c r="BK34">
        <f t="shared" si="3"/>
        <v>1669.164540502507</v>
      </c>
      <c r="BL34">
        <v>-308.39881644612399</v>
      </c>
      <c r="BM34">
        <v>13.9361349310353</v>
      </c>
      <c r="BN34">
        <v>17.500840812534499</v>
      </c>
      <c r="BO34">
        <v>1314.8318407025499</v>
      </c>
      <c r="BQ34">
        <v>-308.39881644612399</v>
      </c>
      <c r="BR34">
        <v>13.9361349310353</v>
      </c>
      <c r="BS34">
        <v>1332.3326815150899</v>
      </c>
      <c r="BT34">
        <f t="shared" si="4"/>
        <v>1346.2688164461251</v>
      </c>
      <c r="BV34">
        <v>-308.39881644612399</v>
      </c>
      <c r="BW34">
        <v>13.9361349310353</v>
      </c>
      <c r="BX34">
        <v>1332.3326815150899</v>
      </c>
    </row>
    <row r="35" spans="1:76" x14ac:dyDescent="0.3">
      <c r="A35">
        <f t="shared" si="5"/>
        <v>29</v>
      </c>
      <c r="B35">
        <v>-29.575054084793202</v>
      </c>
      <c r="C35">
        <v>4.3744006573630596</v>
      </c>
      <c r="F35">
        <f t="shared" si="0"/>
        <v>4.3744006573630596</v>
      </c>
      <c r="H35">
        <v>7.0119083922439804</v>
      </c>
      <c r="I35">
        <v>-18.172886403859799</v>
      </c>
      <c r="J35">
        <v>176.77097801161599</v>
      </c>
      <c r="N35">
        <v>-29.575054084793202</v>
      </c>
      <c r="O35">
        <v>4.3744006573630596</v>
      </c>
      <c r="P35">
        <v>-5.9006013088320302</v>
      </c>
      <c r="Q35">
        <v>196.71125473626199</v>
      </c>
      <c r="T35">
        <v>-29.575054084793202</v>
      </c>
      <c r="U35">
        <v>4.3744006573630596</v>
      </c>
      <c r="V35">
        <v>-5.9006013088320302</v>
      </c>
      <c r="W35">
        <v>-14.3597253400306</v>
      </c>
      <c r="X35">
        <v>211.07098007629301</v>
      </c>
      <c r="Z35" s="4">
        <v>-19.435797849958199</v>
      </c>
      <c r="AA35" s="4">
        <v>-0.80041481806357395</v>
      </c>
      <c r="AB35" s="4">
        <v>95.686212668021696</v>
      </c>
      <c r="AD35">
        <v>-19.435797849958199</v>
      </c>
      <c r="AE35">
        <v>-0.80041481806357395</v>
      </c>
      <c r="AF35">
        <v>-0.81459889219213499</v>
      </c>
      <c r="AG35">
        <v>96.500811560213904</v>
      </c>
      <c r="AI35" s="4">
        <v>-60.125390875080001</v>
      </c>
      <c r="AJ35" s="4">
        <v>-32.348511894771597</v>
      </c>
      <c r="AK35" s="4">
        <v>184.17390276985199</v>
      </c>
      <c r="AM35">
        <v>-60.125390875080001</v>
      </c>
      <c r="AN35">
        <v>-32.348511894771597</v>
      </c>
      <c r="AO35">
        <v>-9.3730621811334291</v>
      </c>
      <c r="AP35">
        <v>193.546964950985</v>
      </c>
      <c r="AR35" s="4">
        <v>-194.61559651782099</v>
      </c>
      <c r="AS35" s="4">
        <v>-7.5238922656779996</v>
      </c>
      <c r="AT35" s="4">
        <v>370.25948878349902</v>
      </c>
      <c r="AU35" s="4">
        <f t="shared" si="1"/>
        <v>362.73559651782102</v>
      </c>
      <c r="AW35" s="4">
        <v>-194.61559651782099</v>
      </c>
      <c r="AX35" s="4">
        <v>-7.5238922656779996</v>
      </c>
      <c r="AY35" s="4">
        <v>370.25948878349902</v>
      </c>
      <c r="AZ35" s="4">
        <f t="shared" si="2"/>
        <v>362.73559651782102</v>
      </c>
      <c r="BB35">
        <v>-194.61559651782099</v>
      </c>
      <c r="BC35">
        <v>-7.5238922656779996</v>
      </c>
      <c r="BD35">
        <v>40.991607174704399</v>
      </c>
      <c r="BE35">
        <v>329.26788160879403</v>
      </c>
      <c r="BG35">
        <v>261.43850197491503</v>
      </c>
      <c r="BH35">
        <v>-264.535681845211</v>
      </c>
      <c r="BI35">
        <v>2028.9371798703</v>
      </c>
      <c r="BK35">
        <f t="shared" si="3"/>
        <v>1764.401498025089</v>
      </c>
      <c r="BL35">
        <v>-136.17120103381001</v>
      </c>
      <c r="BM35">
        <v>6.7555010333069996</v>
      </c>
      <c r="BN35">
        <v>14.9849385733036</v>
      </c>
      <c r="BO35">
        <v>1323.4207614272</v>
      </c>
      <c r="BQ35">
        <v>-136.17120103381001</v>
      </c>
      <c r="BR35">
        <v>6.7555010333069996</v>
      </c>
      <c r="BS35">
        <v>1338.4057000005</v>
      </c>
      <c r="BT35">
        <f t="shared" si="4"/>
        <v>1345.1612010338069</v>
      </c>
      <c r="BV35">
        <v>-136.17120103381001</v>
      </c>
      <c r="BW35">
        <v>6.7555010333069996</v>
      </c>
      <c r="BX35">
        <v>1338.4057000005</v>
      </c>
    </row>
    <row r="36" spans="1:76" x14ac:dyDescent="0.3">
      <c r="A36">
        <f t="shared" si="5"/>
        <v>30</v>
      </c>
      <c r="B36">
        <v>87.267172356897106</v>
      </c>
      <c r="C36">
        <v>-80.851006804413402</v>
      </c>
      <c r="F36">
        <f t="shared" si="0"/>
        <v>-80.851006804413402</v>
      </c>
      <c r="H36">
        <v>114.23746327110101</v>
      </c>
      <c r="I36">
        <v>-90.675800474918205</v>
      </c>
      <c r="J36">
        <v>162.37833720381801</v>
      </c>
      <c r="N36">
        <v>87.267172356897106</v>
      </c>
      <c r="O36">
        <v>-80.851006804413402</v>
      </c>
      <c r="P36">
        <v>-11.665878839067499</v>
      </c>
      <c r="Q36">
        <v>191.18971328658401</v>
      </c>
      <c r="T36">
        <v>87.267172356897106</v>
      </c>
      <c r="U36">
        <v>-80.851006804413402</v>
      </c>
      <c r="V36">
        <v>-11.665878839067499</v>
      </c>
      <c r="W36">
        <v>-19.7998587472282</v>
      </c>
      <c r="X36">
        <v>210.98957203381201</v>
      </c>
      <c r="Z36" s="4">
        <v>17.027908255048501</v>
      </c>
      <c r="AA36" s="4">
        <v>-9.7376116263322299</v>
      </c>
      <c r="AB36" s="4">
        <v>91.769703371283697</v>
      </c>
      <c r="AD36">
        <v>17.027908255048501</v>
      </c>
      <c r="AE36">
        <v>-9.7376116263322299</v>
      </c>
      <c r="AF36">
        <v>-3.4016895067859299</v>
      </c>
      <c r="AG36">
        <v>95.171392878069696</v>
      </c>
      <c r="AI36" s="4">
        <v>68.069739196329905</v>
      </c>
      <c r="AJ36" s="4">
        <v>-9.4785856546678406</v>
      </c>
      <c r="AK36" s="4">
        <v>172.52884645833799</v>
      </c>
      <c r="AM36">
        <v>68.069739196329905</v>
      </c>
      <c r="AN36">
        <v>-9.4785856546678406</v>
      </c>
      <c r="AO36">
        <v>-16.872018586322</v>
      </c>
      <c r="AP36">
        <v>189.40086504466001</v>
      </c>
      <c r="AR36" s="4">
        <v>-78.788576996008103</v>
      </c>
      <c r="AS36" s="4">
        <v>-8.3985608923412904</v>
      </c>
      <c r="AT36" s="4">
        <v>373.17713788834902</v>
      </c>
      <c r="AU36" s="4">
        <f t="shared" si="1"/>
        <v>364.77857699600776</v>
      </c>
      <c r="AW36" s="4">
        <v>-78.788576996008103</v>
      </c>
      <c r="AX36" s="4">
        <v>-8.3985608923412904</v>
      </c>
      <c r="AY36" s="4">
        <v>373.17713788834902</v>
      </c>
      <c r="AZ36" s="4">
        <f t="shared" si="2"/>
        <v>364.77857699600776</v>
      </c>
      <c r="BB36">
        <v>-78.788576996008103</v>
      </c>
      <c r="BC36">
        <v>-8.3985608923412904</v>
      </c>
      <c r="BD36">
        <v>42.897357084153803</v>
      </c>
      <c r="BE36">
        <v>330.27978080419598</v>
      </c>
      <c r="BG36">
        <v>75.360006942592705</v>
      </c>
      <c r="BH36">
        <v>-152.30983574239701</v>
      </c>
      <c r="BI36">
        <v>2038.7798287998</v>
      </c>
      <c r="BK36">
        <f t="shared" si="3"/>
        <v>1886.4699930574029</v>
      </c>
      <c r="BL36">
        <v>115.15853096574899</v>
      </c>
      <c r="BM36">
        <v>-11.4567553729631</v>
      </c>
      <c r="BN36">
        <v>8.3718582588434298</v>
      </c>
      <c r="BO36">
        <v>1331.6963661483701</v>
      </c>
      <c r="BQ36">
        <v>115.15853096574899</v>
      </c>
      <c r="BR36">
        <v>-11.4567553729631</v>
      </c>
      <c r="BS36">
        <v>1340.06822440721</v>
      </c>
      <c r="BT36">
        <f t="shared" si="4"/>
        <v>1328.611469034247</v>
      </c>
      <c r="BV36">
        <v>115.15853096574899</v>
      </c>
      <c r="BW36">
        <v>-11.4567553729631</v>
      </c>
      <c r="BX36">
        <v>1340.06822440721</v>
      </c>
    </row>
    <row r="41" spans="1:76" x14ac:dyDescent="0.3">
      <c r="C41">
        <v>-102.33799560589399</v>
      </c>
      <c r="D41">
        <v>34.001996815520599</v>
      </c>
      <c r="E41">
        <v>-15.358196818768899</v>
      </c>
      <c r="F41">
        <v>-12.013738166588499</v>
      </c>
      <c r="M41">
        <v>234.34793377573101</v>
      </c>
      <c r="O41">
        <f>SUM(C41:M41)</f>
        <v>138.64000000000021</v>
      </c>
    </row>
    <row r="42" spans="1:76" x14ac:dyDescent="0.3">
      <c r="C42">
        <v>97.344924048003904</v>
      </c>
      <c r="D42">
        <v>47.050266362544001</v>
      </c>
      <c r="E42">
        <v>-16.185180658156899</v>
      </c>
      <c r="F42">
        <v>-10.766535485641199</v>
      </c>
      <c r="M42">
        <v>234.26652573325001</v>
      </c>
      <c r="O42">
        <f t="shared" ref="O42:O70" si="6">SUM(C42:M42)</f>
        <v>351.70999999999981</v>
      </c>
    </row>
    <row r="43" spans="1:76" x14ac:dyDescent="0.3">
      <c r="C43">
        <v>-78.091738364485295</v>
      </c>
      <c r="D43">
        <v>13.0096721263891</v>
      </c>
      <c r="E43">
        <v>-14.9415113056336</v>
      </c>
      <c r="F43">
        <v>-9.2163859954880891</v>
      </c>
      <c r="M43">
        <v>234.02996353921799</v>
      </c>
      <c r="O43">
        <f t="shared" si="6"/>
        <v>144.79000000000011</v>
      </c>
    </row>
    <row r="44" spans="1:76" x14ac:dyDescent="0.3">
      <c r="C44">
        <v>42.540589265997099</v>
      </c>
      <c r="D44">
        <v>-19.715759320878298</v>
      </c>
      <c r="E44">
        <v>-10.411268198754399</v>
      </c>
      <c r="F44">
        <v>-7.3833018401133899</v>
      </c>
      <c r="M44">
        <v>233.64974009374899</v>
      </c>
      <c r="O44">
        <f t="shared" si="6"/>
        <v>238.68</v>
      </c>
    </row>
    <row r="45" spans="1:76" x14ac:dyDescent="0.3">
      <c r="C45">
        <v>-19.1542597095793</v>
      </c>
      <c r="D45">
        <v>-31.2778403506804</v>
      </c>
      <c r="E45">
        <v>-3.95150691837785</v>
      </c>
      <c r="F45">
        <v>-5.33374131832079</v>
      </c>
      <c r="M45">
        <v>233.13734829695801</v>
      </c>
      <c r="O45">
        <f t="shared" si="6"/>
        <v>173.41999999999967</v>
      </c>
    </row>
    <row r="46" spans="1:76" x14ac:dyDescent="0.3">
      <c r="C46">
        <v>18.7723340737497</v>
      </c>
      <c r="D46">
        <v>-55.463169348434</v>
      </c>
      <c r="E46">
        <v>3.08071695463719</v>
      </c>
      <c r="F46">
        <v>-3.1341627289137999</v>
      </c>
      <c r="M46">
        <v>232.50428104896099</v>
      </c>
      <c r="O46">
        <f t="shared" si="6"/>
        <v>195.76000000000008</v>
      </c>
    </row>
    <row r="47" spans="1:76" x14ac:dyDescent="0.3">
      <c r="C47">
        <v>-28.2344168924912</v>
      </c>
      <c r="D47">
        <v>-38.045793024625702</v>
      </c>
      <c r="E47">
        <v>9.3692030379413502</v>
      </c>
      <c r="F47">
        <v>-0.85102437069617198</v>
      </c>
      <c r="M47">
        <v>231.762031249872</v>
      </c>
      <c r="O47">
        <f t="shared" si="6"/>
        <v>174.00000000000026</v>
      </c>
    </row>
    <row r="48" spans="1:76" x14ac:dyDescent="0.3">
      <c r="C48">
        <v>26.326423230617099</v>
      </c>
      <c r="D48">
        <v>25.9551275905369</v>
      </c>
      <c r="E48">
        <v>13.607141921511801</v>
      </c>
      <c r="F48">
        <v>1.4492154575285201</v>
      </c>
      <c r="M48">
        <v>230.922091799806</v>
      </c>
      <c r="O48">
        <f t="shared" si="6"/>
        <v>298.26000000000033</v>
      </c>
    </row>
    <row r="49" spans="3:15" x14ac:dyDescent="0.3">
      <c r="C49">
        <v>-14.2021974847416</v>
      </c>
      <c r="D49">
        <v>60.8445789459278</v>
      </c>
      <c r="E49">
        <v>14.451564482979601</v>
      </c>
      <c r="F49">
        <v>3.7000984569567299</v>
      </c>
      <c r="M49">
        <v>229.995955598877</v>
      </c>
      <c r="O49">
        <f t="shared" si="6"/>
        <v>294.78999999999951</v>
      </c>
    </row>
    <row r="50" spans="3:15" x14ac:dyDescent="0.3">
      <c r="C50">
        <v>11.3110384433867</v>
      </c>
      <c r="D50">
        <v>53.005095529818803</v>
      </c>
      <c r="E50">
        <v>12.4598438362964</v>
      </c>
      <c r="F50">
        <v>5.86890664329575</v>
      </c>
      <c r="M50">
        <v>228.995115547202</v>
      </c>
      <c r="O50">
        <f t="shared" si="6"/>
        <v>311.63999999999965</v>
      </c>
    </row>
    <row r="51" spans="3:15" x14ac:dyDescent="0.3">
      <c r="C51">
        <v>-22.036632796543401</v>
      </c>
      <c r="D51">
        <v>49.628768880431203</v>
      </c>
      <c r="E51">
        <v>9.3728939217449696</v>
      </c>
      <c r="F51">
        <v>7.9439054494721697</v>
      </c>
      <c r="M51">
        <v>227.93106454489501</v>
      </c>
      <c r="O51">
        <f t="shared" si="6"/>
        <v>272.83999999999992</v>
      </c>
    </row>
    <row r="52" spans="3:15" x14ac:dyDescent="0.3">
      <c r="C52">
        <v>9.9575172559916894</v>
      </c>
      <c r="D52">
        <v>37.754018692973098</v>
      </c>
      <c r="E52">
        <v>5.6230568564534398</v>
      </c>
      <c r="F52">
        <v>9.8901117025111294</v>
      </c>
      <c r="M52">
        <v>226.81529549207099</v>
      </c>
      <c r="O52">
        <f t="shared" si="6"/>
        <v>290.04000000000036</v>
      </c>
    </row>
    <row r="53" spans="3:15" x14ac:dyDescent="0.3">
      <c r="C53">
        <v>54.727513377971498</v>
      </c>
      <c r="D53">
        <v>10.5079683461969</v>
      </c>
      <c r="E53">
        <v>1.6426747575498499</v>
      </c>
      <c r="F53">
        <v>11.6725422294378</v>
      </c>
      <c r="M53">
        <v>225.65930128884401</v>
      </c>
      <c r="O53">
        <f t="shared" si="6"/>
        <v>304.21000000000004</v>
      </c>
    </row>
    <row r="54" spans="3:15" x14ac:dyDescent="0.3">
      <c r="C54">
        <v>-48.491305390667598</v>
      </c>
      <c r="D54">
        <v>-36.863573044101798</v>
      </c>
      <c r="E54">
        <v>-2.1359102578377298</v>
      </c>
      <c r="F54">
        <v>13.256213857277301</v>
      </c>
      <c r="M54">
        <v>224.47457483533</v>
      </c>
      <c r="O54">
        <f t="shared" si="6"/>
        <v>150.24000000000018</v>
      </c>
    </row>
    <row r="55" spans="3:15" x14ac:dyDescent="0.3">
      <c r="C55">
        <v>37.852051377431103</v>
      </c>
      <c r="D55">
        <v>-56.630447749547997</v>
      </c>
      <c r="E55">
        <v>-5.28035607258124</v>
      </c>
      <c r="F55">
        <v>14.606143413054699</v>
      </c>
      <c r="M55">
        <v>223.27260903164299</v>
      </c>
      <c r="O55">
        <f t="shared" si="6"/>
        <v>213.81999999999954</v>
      </c>
    </row>
    <row r="56" spans="3:15" x14ac:dyDescent="0.3">
      <c r="C56">
        <v>-54.000624999999999</v>
      </c>
      <c r="D56">
        <v>7.5654019039508098</v>
      </c>
      <c r="E56">
        <v>-7.8970214056455603</v>
      </c>
      <c r="F56">
        <v>15.687347723795201</v>
      </c>
      <c r="M56">
        <v>222.0648967779</v>
      </c>
      <c r="O56">
        <f t="shared" si="6"/>
        <v>183.42000000000044</v>
      </c>
    </row>
    <row r="57" spans="3:15" x14ac:dyDescent="0.3">
      <c r="C57">
        <v>71.288164062500002</v>
      </c>
      <c r="D57">
        <v>56.961245399702598</v>
      </c>
      <c r="E57">
        <v>-9.9371840529395694</v>
      </c>
      <c r="F57">
        <v>16.464843616523801</v>
      </c>
      <c r="M57">
        <v>220.86293097421299</v>
      </c>
      <c r="O57">
        <f t="shared" si="6"/>
        <v>355.63999999999982</v>
      </c>
    </row>
    <row r="58" spans="3:15" x14ac:dyDescent="0.3">
      <c r="C58">
        <v>-16.642734375</v>
      </c>
      <c r="D58">
        <v>29.961020658474801</v>
      </c>
      <c r="E58">
        <v>-10.2801387224398</v>
      </c>
      <c r="F58">
        <v>16.903647918265801</v>
      </c>
      <c r="M58">
        <v>219.67820452069901</v>
      </c>
      <c r="O58">
        <f t="shared" si="6"/>
        <v>239.61999999999981</v>
      </c>
    </row>
    <row r="59" spans="3:15" x14ac:dyDescent="0.3">
      <c r="C59">
        <v>-51.193164062500003</v>
      </c>
      <c r="D59">
        <v>-18.125735791408701</v>
      </c>
      <c r="E59">
        <v>-8.4614910429846599</v>
      </c>
      <c r="F59">
        <v>16.918180579421001</v>
      </c>
      <c r="M59">
        <v>218.522210317472</v>
      </c>
      <c r="O59">
        <f t="shared" si="6"/>
        <v>157.65999999999963</v>
      </c>
    </row>
    <row r="60" spans="3:15" x14ac:dyDescent="0.3">
      <c r="C60">
        <v>-49.682890624999999</v>
      </c>
      <c r="D60">
        <v>-61.0203698575692</v>
      </c>
      <c r="E60">
        <v>-4.8745277998282903</v>
      </c>
      <c r="F60">
        <v>16.471347017749601</v>
      </c>
      <c r="M60">
        <v>217.40644126464801</v>
      </c>
      <c r="O60">
        <f t="shared" si="6"/>
        <v>118.30000000000013</v>
      </c>
    </row>
    <row r="61" spans="3:15" x14ac:dyDescent="0.3">
      <c r="C61">
        <v>45.091371086150403</v>
      </c>
      <c r="D61">
        <v>-71.647278221278199</v>
      </c>
      <c r="E61">
        <v>1.26246114696347E-2</v>
      </c>
      <c r="F61">
        <v>15.600892261317499</v>
      </c>
      <c r="M61">
        <v>216.34239026234101</v>
      </c>
      <c r="O61">
        <f t="shared" si="6"/>
        <v>205.40000000000035</v>
      </c>
    </row>
    <row r="62" spans="3:15" x14ac:dyDescent="0.3">
      <c r="C62">
        <v>-35.750848976794899</v>
      </c>
      <c r="D62">
        <v>-47.466432884383302</v>
      </c>
      <c r="E62">
        <v>4.6211703123219996</v>
      </c>
      <c r="F62">
        <v>14.344561338190699</v>
      </c>
      <c r="M62">
        <v>215.34155021066601</v>
      </c>
      <c r="O62">
        <f t="shared" si="6"/>
        <v>151.09000000000049</v>
      </c>
    </row>
    <row r="63" spans="3:15" x14ac:dyDescent="0.3">
      <c r="C63">
        <v>-64.235585185758495</v>
      </c>
      <c r="D63">
        <v>-5.2152891005313</v>
      </c>
      <c r="E63">
        <v>7.5453610001174098</v>
      </c>
      <c r="F63">
        <v>12.740099276435</v>
      </c>
      <c r="M63">
        <v>214.41541400973699</v>
      </c>
      <c r="O63">
        <f t="shared" si="6"/>
        <v>165.2499999999996</v>
      </c>
    </row>
    <row r="64" spans="3:15" x14ac:dyDescent="0.3">
      <c r="C64">
        <v>-25.074468634108602</v>
      </c>
      <c r="D64">
        <v>44.097101327060997</v>
      </c>
      <c r="E64">
        <v>9.0973391298444302</v>
      </c>
      <c r="F64">
        <v>10.3045536175319</v>
      </c>
      <c r="M64">
        <v>213.57547455967099</v>
      </c>
      <c r="O64">
        <f t="shared" si="6"/>
        <v>251.99999999999972</v>
      </c>
    </row>
    <row r="65" spans="3:15" x14ac:dyDescent="0.3">
      <c r="C65">
        <v>13.752326623101499</v>
      </c>
      <c r="D65">
        <v>82.710229556861904</v>
      </c>
      <c r="E65">
        <v>9.4663673782675506</v>
      </c>
      <c r="F65">
        <v>6.6778516811870299</v>
      </c>
      <c r="M65">
        <v>212.833224760582</v>
      </c>
      <c r="O65">
        <f t="shared" si="6"/>
        <v>325.44</v>
      </c>
    </row>
    <row r="66" spans="3:15" x14ac:dyDescent="0.3">
      <c r="C66">
        <v>119.210977012108</v>
      </c>
      <c r="D66">
        <v>95.5872362660498</v>
      </c>
      <c r="E66">
        <v>8.2339470254120606</v>
      </c>
      <c r="F66">
        <v>2.1076821838450601</v>
      </c>
      <c r="M66">
        <v>212.20015751258501</v>
      </c>
      <c r="O66">
        <f t="shared" si="6"/>
        <v>437.33999999999992</v>
      </c>
    </row>
    <row r="67" spans="3:15" x14ac:dyDescent="0.3">
      <c r="C67">
        <v>-148.297448806299</v>
      </c>
      <c r="D67">
        <v>83.198777284099606</v>
      </c>
      <c r="E67">
        <v>4.9164700474859897</v>
      </c>
      <c r="F67">
        <v>-3.1155642410806701</v>
      </c>
      <c r="M67">
        <v>211.687765715794</v>
      </c>
      <c r="O67">
        <f t="shared" si="6"/>
        <v>148.38999999999993</v>
      </c>
    </row>
    <row r="68" spans="3:15" x14ac:dyDescent="0.3">
      <c r="C68">
        <v>-131.769250447882</v>
      </c>
      <c r="D68">
        <v>59.037304009688903</v>
      </c>
      <c r="E68">
        <v>-8.40988719547546E-2</v>
      </c>
      <c r="F68">
        <v>-8.7014969601770105</v>
      </c>
      <c r="M68">
        <v>211.307542270325</v>
      </c>
      <c r="O68">
        <f t="shared" si="6"/>
        <v>129.79000000000013</v>
      </c>
    </row>
    <row r="69" spans="3:15" x14ac:dyDescent="0.3">
      <c r="C69">
        <v>-29.575054084793202</v>
      </c>
      <c r="D69">
        <v>4.3744006573630596</v>
      </c>
      <c r="E69">
        <v>-5.9006013088320302</v>
      </c>
      <c r="F69">
        <v>-14.3597253400306</v>
      </c>
      <c r="M69">
        <v>211.07098007629301</v>
      </c>
      <c r="O69">
        <f t="shared" si="6"/>
        <v>165.61000000000024</v>
      </c>
    </row>
    <row r="70" spans="3:15" x14ac:dyDescent="0.3">
      <c r="C70">
        <v>87.267172356897106</v>
      </c>
      <c r="D70">
        <v>-80.851006804413402</v>
      </c>
      <c r="E70">
        <v>-11.665878839067499</v>
      </c>
      <c r="F70">
        <v>-19.7998587472282</v>
      </c>
      <c r="M70">
        <v>210.98957203381201</v>
      </c>
      <c r="O70">
        <f t="shared" si="6"/>
        <v>185.94000000000003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p,q arima</vt:lpstr>
      <vt:lpstr>decomposition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2025-04-17T04:10:37Z</dcterms:created>
  <dcterms:modified xsi:type="dcterms:W3CDTF">2025-11-18T07:21:39Z</dcterms:modified>
</cp:coreProperties>
</file>