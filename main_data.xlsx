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384" tabRatio="759" activeTab="3"/>
  </bookViews>
  <sheets>
    <sheet name="Tehran" sheetId="1" r:id="rId1"/>
    <sheet name="semnan" sheetId="8" r:id="rId2"/>
    <sheet name="Mashhad" sheetId="3" r:id="rId3"/>
    <sheet name="Arak" sheetId="2" r:id="rId4"/>
    <sheet name="Bandar Anzali" sheetId="7" r:id="rId5"/>
    <sheet name="Rasht" sheetId="9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9" i="1" l="1"/>
  <c r="P46" i="1"/>
  <c r="G46" i="1"/>
  <c r="D45" i="1"/>
  <c r="E50" i="1"/>
  <c r="E49" i="1"/>
  <c r="L47" i="1"/>
  <c r="J54" i="1"/>
  <c r="D48" i="1"/>
  <c r="D49" i="1" s="1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6" i="9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6" i="7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6" i="2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6" i="3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5" i="8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6" i="1"/>
  <c r="F48" i="1" l="1"/>
  <c r="D50" i="1"/>
</calcChain>
</file>

<file path=xl/sharedStrings.xml><?xml version="1.0" encoding="utf-8"?>
<sst xmlns="http://schemas.openxmlformats.org/spreadsheetml/2006/main" count="82" uniqueCount="40">
  <si>
    <t>rrr24</t>
  </si>
  <si>
    <t>month/data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</si>
  <si>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</si>
  <si>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</si>
  <si>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</si>
  <si>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</si>
  <si>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</si>
  <si>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</si>
  <si>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</si>
  <si>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</si>
  <si>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</si>
  <si>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</si>
  <si>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</si>
  <si>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</si>
  <si>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</si>
  <si>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>JAN.</t>
  </si>
  <si>
    <t>FEB.</t>
  </si>
  <si>
    <t>MAR.</t>
  </si>
  <si>
    <t>APR.</t>
  </si>
  <si>
    <t>MAY</t>
  </si>
  <si>
    <t>JUNE</t>
  </si>
  <si>
    <t>JULY</t>
  </si>
  <si>
    <t>AUG.</t>
  </si>
  <si>
    <t>SEP.</t>
  </si>
  <si>
    <t>OCT.</t>
  </si>
  <si>
    <t>NOV.</t>
  </si>
  <si>
    <t>DEC.</t>
  </si>
  <si>
    <t>*****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</si>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</sst>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P54"/>
  <sheetViews>
    <sheetView topLeftCell="B21" workbookViewId="0">
      <selection activeCell="C33" sqref="C33:N42"/>
    </sheetView>
  </sheetViews>
  <sheetFormatPr defaultRowHeight="14.4" x14ac:dyDescent="0.3"/>
  <sheetData>
    <row r="4" spans="2:16" x14ac:dyDescent="0.3">
      <c r="H4" t="s">
        <v>0</v>
      </c>
    </row>
    <row r="5" spans="2:16" x14ac:dyDescent="0.3"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</row>
    <row r="6" spans="2:16" x14ac:dyDescent="0.3">
      <c r="B6">
        <v>1988</v>
      </c>
      <c r="C6">
        <v>53.4</v>
      </c>
      <c r="D6">
        <v>32.47</v>
      </c>
      <c r="E6">
        <v>41.01</v>
      </c>
      <c r="F6">
        <v>41.54</v>
      </c>
      <c r="G6">
        <v>2.0099999999999998</v>
      </c>
      <c r="H6">
        <v>0.5</v>
      </c>
      <c r="I6">
        <v>9.5299999999999994</v>
      </c>
      <c r="J6">
        <v>9.01</v>
      </c>
      <c r="K6">
        <v>3</v>
      </c>
      <c r="L6">
        <v>10.4</v>
      </c>
      <c r="M6">
        <v>8.7200000000000006</v>
      </c>
      <c r="N6">
        <v>39.42</v>
      </c>
      <c r="P6">
        <f>SUM(C6:N6)</f>
        <v>251.01</v>
      </c>
    </row>
    <row r="7" spans="2:16" x14ac:dyDescent="0.3">
      <c r="B7">
        <v>1989</v>
      </c>
      <c r="C7">
        <v>31.3</v>
      </c>
      <c r="D7">
        <v>24.23</v>
      </c>
      <c r="E7">
        <v>41.76</v>
      </c>
      <c r="F7">
        <v>2.21</v>
      </c>
      <c r="G7">
        <v>10.44</v>
      </c>
      <c r="H7">
        <v>0.21</v>
      </c>
      <c r="I7">
        <v>0.1</v>
      </c>
      <c r="J7">
        <v>0</v>
      </c>
      <c r="K7">
        <v>0.01</v>
      </c>
      <c r="L7">
        <v>1.61</v>
      </c>
      <c r="M7">
        <v>0.92</v>
      </c>
      <c r="N7">
        <v>53.51</v>
      </c>
      <c r="P7">
        <f t="shared" ref="P7:P42" si="0">SUM(C7:N7)</f>
        <v>166.29999999999998</v>
      </c>
    </row>
    <row r="8" spans="2:16" x14ac:dyDescent="0.3">
      <c r="B8">
        <v>1990</v>
      </c>
      <c r="C8">
        <v>35.229999999999997</v>
      </c>
      <c r="D8">
        <v>52.73</v>
      </c>
      <c r="E8">
        <v>15.34</v>
      </c>
      <c r="F8">
        <v>16.309999999999999</v>
      </c>
      <c r="G8">
        <v>0.62</v>
      </c>
      <c r="H8">
        <v>0</v>
      </c>
      <c r="I8">
        <v>0.02</v>
      </c>
      <c r="J8">
        <v>0</v>
      </c>
      <c r="K8">
        <v>0</v>
      </c>
      <c r="L8">
        <v>9.33</v>
      </c>
      <c r="M8">
        <v>4.0199999999999996</v>
      </c>
      <c r="N8">
        <v>34.11</v>
      </c>
      <c r="P8">
        <f t="shared" si="0"/>
        <v>167.71000000000004</v>
      </c>
    </row>
    <row r="9" spans="2:16" x14ac:dyDescent="0.3">
      <c r="B9">
        <v>1991</v>
      </c>
      <c r="C9">
        <v>19.760000000000002</v>
      </c>
      <c r="D9">
        <v>31.44</v>
      </c>
      <c r="E9">
        <v>141.72999999999999</v>
      </c>
      <c r="F9">
        <v>25.73</v>
      </c>
      <c r="G9">
        <v>7.1</v>
      </c>
      <c r="H9">
        <v>1.02</v>
      </c>
      <c r="I9">
        <v>0</v>
      </c>
      <c r="J9">
        <v>0</v>
      </c>
      <c r="K9">
        <v>0.3</v>
      </c>
      <c r="L9">
        <v>2.52</v>
      </c>
      <c r="M9">
        <v>1.01</v>
      </c>
      <c r="N9">
        <v>56.65</v>
      </c>
      <c r="P9">
        <f t="shared" si="0"/>
        <v>287.26</v>
      </c>
    </row>
    <row r="10" spans="2:16" x14ac:dyDescent="0.3">
      <c r="B10">
        <v>1992</v>
      </c>
      <c r="C10">
        <v>28.94</v>
      </c>
      <c r="D10">
        <v>23.47</v>
      </c>
      <c r="E10">
        <v>65.33</v>
      </c>
      <c r="F10">
        <v>35.43</v>
      </c>
      <c r="G10">
        <v>51.06</v>
      </c>
      <c r="H10">
        <v>9.5299999999999994</v>
      </c>
      <c r="I10">
        <v>2.21</v>
      </c>
      <c r="J10">
        <v>2.0099999999999998</v>
      </c>
      <c r="K10">
        <v>0</v>
      </c>
      <c r="L10">
        <v>0.01</v>
      </c>
      <c r="M10">
        <v>4.3499999999999996</v>
      </c>
      <c r="N10">
        <v>33.46</v>
      </c>
      <c r="P10">
        <f t="shared" si="0"/>
        <v>255.79999999999998</v>
      </c>
    </row>
    <row r="11" spans="2:16" x14ac:dyDescent="0.3">
      <c r="B11">
        <v>1993</v>
      </c>
      <c r="C11">
        <v>31.73</v>
      </c>
      <c r="D11">
        <v>89.73</v>
      </c>
      <c r="E11">
        <v>45.45</v>
      </c>
      <c r="F11">
        <v>26.31</v>
      </c>
      <c r="G11">
        <v>10.31</v>
      </c>
      <c r="H11">
        <v>2.21</v>
      </c>
      <c r="I11">
        <v>0.01</v>
      </c>
      <c r="J11">
        <v>0</v>
      </c>
      <c r="L11">
        <v>3.25</v>
      </c>
      <c r="M11">
        <v>47.84</v>
      </c>
      <c r="N11">
        <v>18.61</v>
      </c>
      <c r="P11">
        <f t="shared" si="0"/>
        <v>275.45000000000005</v>
      </c>
    </row>
    <row r="12" spans="2:16" x14ac:dyDescent="0.3">
      <c r="B12">
        <v>1994</v>
      </c>
      <c r="C12">
        <v>40.909999999999997</v>
      </c>
      <c r="D12">
        <v>51.4</v>
      </c>
      <c r="E12">
        <v>22.23</v>
      </c>
      <c r="F12">
        <v>24.91</v>
      </c>
      <c r="G12">
        <v>23.74</v>
      </c>
      <c r="H12">
        <v>3.31</v>
      </c>
      <c r="I12">
        <v>0</v>
      </c>
      <c r="J12">
        <v>0</v>
      </c>
      <c r="K12">
        <v>0.11</v>
      </c>
      <c r="L12">
        <v>18.829999999999998</v>
      </c>
      <c r="M12">
        <v>124.73</v>
      </c>
      <c r="N12">
        <v>4.42</v>
      </c>
      <c r="P12">
        <f t="shared" si="0"/>
        <v>314.59000000000009</v>
      </c>
    </row>
    <row r="13" spans="2:16" x14ac:dyDescent="0.3">
      <c r="B13">
        <v>1995</v>
      </c>
      <c r="C13">
        <v>2.5</v>
      </c>
      <c r="D13">
        <v>20.03</v>
      </c>
      <c r="E13">
        <v>26.12</v>
      </c>
      <c r="F13">
        <v>50.98</v>
      </c>
      <c r="G13">
        <v>15.54</v>
      </c>
      <c r="H13">
        <v>1.52</v>
      </c>
      <c r="I13">
        <v>0</v>
      </c>
      <c r="J13">
        <v>0</v>
      </c>
      <c r="K13">
        <v>0.01</v>
      </c>
      <c r="L13">
        <v>1.03</v>
      </c>
      <c r="M13">
        <v>0</v>
      </c>
      <c r="N13">
        <v>20.91</v>
      </c>
      <c r="P13">
        <f t="shared" si="0"/>
        <v>138.63999999999999</v>
      </c>
    </row>
    <row r="14" spans="2:16" x14ac:dyDescent="0.3">
      <c r="B14">
        <v>1996</v>
      </c>
      <c r="C14">
        <v>40.43</v>
      </c>
      <c r="D14">
        <v>67.12</v>
      </c>
      <c r="E14">
        <v>141.25</v>
      </c>
      <c r="F14">
        <v>48.57</v>
      </c>
      <c r="G14">
        <v>27.42</v>
      </c>
      <c r="H14">
        <v>3.21</v>
      </c>
      <c r="I14">
        <v>0.9</v>
      </c>
      <c r="J14">
        <v>3</v>
      </c>
      <c r="K14">
        <v>0</v>
      </c>
      <c r="L14">
        <v>12.2</v>
      </c>
      <c r="M14">
        <v>0.2</v>
      </c>
      <c r="N14">
        <v>7.41</v>
      </c>
      <c r="P14">
        <f t="shared" si="0"/>
        <v>351.71</v>
      </c>
    </row>
    <row r="15" spans="2:16" x14ac:dyDescent="0.3">
      <c r="B15">
        <v>1997</v>
      </c>
      <c r="C15">
        <v>11.11</v>
      </c>
      <c r="D15">
        <v>4.6100000000000003</v>
      </c>
      <c r="E15">
        <v>33.03</v>
      </c>
      <c r="F15">
        <v>9.66</v>
      </c>
      <c r="G15">
        <v>2.44</v>
      </c>
      <c r="H15">
        <v>11.93</v>
      </c>
      <c r="I15">
        <v>0.41</v>
      </c>
      <c r="J15">
        <v>0</v>
      </c>
      <c r="K15">
        <v>0</v>
      </c>
      <c r="L15">
        <v>1.2</v>
      </c>
      <c r="M15">
        <v>26.26</v>
      </c>
      <c r="N15">
        <v>44.14</v>
      </c>
      <c r="P15">
        <f t="shared" si="0"/>
        <v>144.79000000000002</v>
      </c>
    </row>
    <row r="16" spans="2:16" x14ac:dyDescent="0.3">
      <c r="B16">
        <v>1998</v>
      </c>
      <c r="C16">
        <v>54.92</v>
      </c>
      <c r="D16">
        <v>38.01</v>
      </c>
      <c r="E16">
        <v>50.16</v>
      </c>
      <c r="F16">
        <v>24.33</v>
      </c>
      <c r="G16">
        <v>14.46</v>
      </c>
      <c r="H16">
        <v>0.01</v>
      </c>
      <c r="I16">
        <v>0.02</v>
      </c>
      <c r="J16">
        <v>3.2</v>
      </c>
      <c r="K16">
        <v>1.62</v>
      </c>
      <c r="L16">
        <v>4.7</v>
      </c>
      <c r="M16">
        <v>0.92</v>
      </c>
      <c r="N16">
        <v>46.33</v>
      </c>
      <c r="P16">
        <f t="shared" si="0"/>
        <v>238.68</v>
      </c>
    </row>
    <row r="17" spans="2:16" x14ac:dyDescent="0.3">
      <c r="B17">
        <v>1999</v>
      </c>
      <c r="C17">
        <v>28.71</v>
      </c>
      <c r="D17">
        <v>7.72</v>
      </c>
      <c r="E17">
        <v>35.94</v>
      </c>
      <c r="F17">
        <v>2.46</v>
      </c>
      <c r="G17">
        <v>3.12</v>
      </c>
      <c r="H17">
        <v>0</v>
      </c>
      <c r="I17">
        <v>15.51</v>
      </c>
      <c r="J17">
        <v>0</v>
      </c>
      <c r="K17">
        <v>0.1</v>
      </c>
      <c r="L17">
        <v>10.82</v>
      </c>
      <c r="M17">
        <v>51.72</v>
      </c>
      <c r="N17">
        <v>17.32</v>
      </c>
      <c r="P17">
        <f t="shared" si="0"/>
        <v>173.42</v>
      </c>
    </row>
    <row r="18" spans="2:16" x14ac:dyDescent="0.3">
      <c r="B18">
        <v>2000</v>
      </c>
      <c r="C18">
        <v>27.52</v>
      </c>
      <c r="D18">
        <v>32.020000000000003</v>
      </c>
      <c r="E18">
        <v>13.53</v>
      </c>
      <c r="F18">
        <v>1.95</v>
      </c>
      <c r="G18">
        <v>0.21</v>
      </c>
      <c r="H18">
        <v>0</v>
      </c>
      <c r="I18">
        <v>0.12</v>
      </c>
      <c r="J18">
        <v>0</v>
      </c>
      <c r="K18">
        <v>4.42</v>
      </c>
      <c r="L18">
        <v>35.43</v>
      </c>
      <c r="M18">
        <v>13.82</v>
      </c>
      <c r="N18">
        <v>66.739999999999995</v>
      </c>
      <c r="P18">
        <f t="shared" si="0"/>
        <v>195.76</v>
      </c>
    </row>
    <row r="19" spans="2:16" x14ac:dyDescent="0.3">
      <c r="B19">
        <v>2001</v>
      </c>
      <c r="C19">
        <v>33.81</v>
      </c>
      <c r="D19">
        <v>1.5</v>
      </c>
      <c r="E19">
        <v>16.43</v>
      </c>
      <c r="F19">
        <v>0.53</v>
      </c>
      <c r="G19">
        <v>15.55</v>
      </c>
      <c r="H19">
        <v>8.02</v>
      </c>
      <c r="I19">
        <v>1.01</v>
      </c>
      <c r="J19">
        <v>2.61</v>
      </c>
      <c r="K19">
        <v>7.23</v>
      </c>
      <c r="L19">
        <v>14.25</v>
      </c>
      <c r="M19">
        <v>30.01</v>
      </c>
      <c r="N19">
        <v>43.05</v>
      </c>
      <c r="P19">
        <f t="shared" si="0"/>
        <v>174</v>
      </c>
    </row>
    <row r="20" spans="2:16" x14ac:dyDescent="0.3">
      <c r="B20">
        <v>2002</v>
      </c>
      <c r="C20">
        <v>43.11</v>
      </c>
      <c r="D20">
        <v>6.22</v>
      </c>
      <c r="E20">
        <v>21.33</v>
      </c>
      <c r="F20">
        <v>102.64</v>
      </c>
      <c r="G20">
        <v>13.13</v>
      </c>
      <c r="H20">
        <v>0</v>
      </c>
      <c r="I20">
        <v>3.64</v>
      </c>
      <c r="J20">
        <v>0.02</v>
      </c>
      <c r="K20">
        <v>0</v>
      </c>
      <c r="L20">
        <v>1.74</v>
      </c>
      <c r="M20">
        <v>29.42</v>
      </c>
      <c r="N20">
        <v>77.010000000000005</v>
      </c>
      <c r="P20">
        <f t="shared" si="0"/>
        <v>298.26</v>
      </c>
    </row>
    <row r="21" spans="2:16" x14ac:dyDescent="0.3">
      <c r="B21">
        <v>2003</v>
      </c>
      <c r="C21">
        <v>24.02</v>
      </c>
      <c r="D21">
        <v>44.7</v>
      </c>
      <c r="E21">
        <v>53.28</v>
      </c>
      <c r="F21">
        <v>93.09</v>
      </c>
      <c r="G21">
        <v>19.239999999999998</v>
      </c>
      <c r="H21">
        <v>0.21</v>
      </c>
      <c r="I21">
        <v>0.01</v>
      </c>
      <c r="J21">
        <v>0.1</v>
      </c>
      <c r="K21">
        <v>0</v>
      </c>
      <c r="L21">
        <v>10.17</v>
      </c>
      <c r="M21">
        <v>14.73</v>
      </c>
      <c r="N21">
        <v>35.24</v>
      </c>
      <c r="P21">
        <f t="shared" si="0"/>
        <v>294.79000000000002</v>
      </c>
    </row>
    <row r="22" spans="2:16" x14ac:dyDescent="0.3">
      <c r="B22">
        <v>2004</v>
      </c>
      <c r="C22">
        <v>68.44</v>
      </c>
      <c r="D22">
        <v>8.82</v>
      </c>
      <c r="E22">
        <v>79.47</v>
      </c>
      <c r="F22">
        <v>49.45</v>
      </c>
      <c r="G22">
        <v>10.72</v>
      </c>
      <c r="H22">
        <v>0.3</v>
      </c>
      <c r="I22">
        <v>15.65</v>
      </c>
      <c r="J22">
        <v>0.01</v>
      </c>
      <c r="K22">
        <v>0</v>
      </c>
      <c r="L22">
        <v>3.02</v>
      </c>
      <c r="M22">
        <v>43.85</v>
      </c>
      <c r="N22">
        <v>31.91</v>
      </c>
      <c r="P22">
        <f t="shared" si="0"/>
        <v>311.64000000000004</v>
      </c>
    </row>
    <row r="23" spans="2:16" x14ac:dyDescent="0.3">
      <c r="B23">
        <v>2005</v>
      </c>
      <c r="C23">
        <v>50.04</v>
      </c>
      <c r="D23">
        <v>46.95</v>
      </c>
      <c r="E23">
        <v>47.21</v>
      </c>
      <c r="F23">
        <v>21.34</v>
      </c>
      <c r="G23">
        <v>32.86</v>
      </c>
      <c r="H23">
        <v>0.13</v>
      </c>
      <c r="I23">
        <v>0.01</v>
      </c>
      <c r="J23">
        <v>8.1300000000000008</v>
      </c>
      <c r="K23">
        <v>0</v>
      </c>
      <c r="L23">
        <v>0.01</v>
      </c>
      <c r="M23">
        <v>33.33</v>
      </c>
      <c r="N23">
        <v>32.83</v>
      </c>
      <c r="P23">
        <f t="shared" si="0"/>
        <v>272.83999999999997</v>
      </c>
    </row>
    <row r="24" spans="2:16" x14ac:dyDescent="0.3">
      <c r="B24">
        <v>2006</v>
      </c>
      <c r="C24">
        <v>87.63</v>
      </c>
      <c r="D24">
        <v>48.44</v>
      </c>
      <c r="E24">
        <v>25.52</v>
      </c>
      <c r="F24">
        <v>42.57</v>
      </c>
      <c r="G24">
        <v>8.31</v>
      </c>
      <c r="H24">
        <v>0</v>
      </c>
      <c r="I24">
        <v>1.51</v>
      </c>
      <c r="J24">
        <v>0</v>
      </c>
      <c r="K24">
        <v>0.01</v>
      </c>
      <c r="L24">
        <v>29.36</v>
      </c>
      <c r="M24">
        <v>17.25</v>
      </c>
      <c r="N24">
        <v>29.44</v>
      </c>
      <c r="P24">
        <f t="shared" si="0"/>
        <v>290.03999999999996</v>
      </c>
    </row>
    <row r="25" spans="2:16" x14ac:dyDescent="0.3">
      <c r="B25">
        <v>2007</v>
      </c>
      <c r="C25">
        <v>8.25</v>
      </c>
      <c r="D25">
        <v>50.98</v>
      </c>
      <c r="E25">
        <v>62.93</v>
      </c>
      <c r="F25">
        <v>66.03</v>
      </c>
      <c r="G25">
        <v>10.17</v>
      </c>
      <c r="H25">
        <v>8.2899999999999991</v>
      </c>
      <c r="I25">
        <v>1.28</v>
      </c>
      <c r="J25">
        <v>0.12</v>
      </c>
      <c r="K25">
        <v>0</v>
      </c>
      <c r="L25">
        <v>2.6</v>
      </c>
      <c r="M25">
        <v>33.729999999999997</v>
      </c>
      <c r="N25">
        <v>59.83</v>
      </c>
      <c r="P25">
        <f t="shared" si="0"/>
        <v>304.20999999999998</v>
      </c>
    </row>
    <row r="26" spans="2:16" x14ac:dyDescent="0.3">
      <c r="B26">
        <v>2008</v>
      </c>
      <c r="C26">
        <v>39.26</v>
      </c>
      <c r="D26">
        <v>28.26</v>
      </c>
      <c r="E26">
        <v>0.45</v>
      </c>
      <c r="F26">
        <v>7.12</v>
      </c>
      <c r="G26">
        <v>6.85</v>
      </c>
      <c r="H26">
        <v>1.1100000000000001</v>
      </c>
      <c r="I26">
        <v>0.6</v>
      </c>
      <c r="J26">
        <v>0.31</v>
      </c>
      <c r="K26">
        <v>0.2</v>
      </c>
      <c r="L26">
        <v>5.43</v>
      </c>
      <c r="M26">
        <v>31.91</v>
      </c>
      <c r="N26">
        <v>28.74</v>
      </c>
      <c r="P26">
        <f t="shared" si="0"/>
        <v>150.24</v>
      </c>
    </row>
    <row r="27" spans="2:16" x14ac:dyDescent="0.3">
      <c r="B27">
        <v>2009</v>
      </c>
      <c r="C27">
        <v>12.02</v>
      </c>
      <c r="D27">
        <v>43.83</v>
      </c>
      <c r="E27">
        <v>22.81</v>
      </c>
      <c r="F27">
        <v>52.86</v>
      </c>
      <c r="G27">
        <v>10.63</v>
      </c>
      <c r="H27">
        <v>5.12</v>
      </c>
      <c r="I27">
        <v>0</v>
      </c>
      <c r="J27">
        <v>0</v>
      </c>
      <c r="K27">
        <v>9.9</v>
      </c>
      <c r="L27">
        <v>3.07</v>
      </c>
      <c r="M27">
        <v>24.77</v>
      </c>
      <c r="N27">
        <v>28.81</v>
      </c>
      <c r="P27">
        <f t="shared" si="0"/>
        <v>213.82</v>
      </c>
    </row>
    <row r="28" spans="2:16" x14ac:dyDescent="0.3">
      <c r="B28">
        <v>2010</v>
      </c>
      <c r="C28">
        <v>22.91</v>
      </c>
      <c r="D28">
        <v>48.96</v>
      </c>
      <c r="E28">
        <v>20.12</v>
      </c>
      <c r="F28">
        <v>53.24</v>
      </c>
      <c r="G28">
        <v>7.44</v>
      </c>
      <c r="H28">
        <v>0.04</v>
      </c>
      <c r="I28">
        <v>0</v>
      </c>
      <c r="J28">
        <v>0.04</v>
      </c>
      <c r="K28">
        <v>0.42</v>
      </c>
      <c r="L28">
        <v>1.42</v>
      </c>
      <c r="M28">
        <v>25.82</v>
      </c>
      <c r="N28">
        <v>3.01</v>
      </c>
      <c r="P28">
        <f t="shared" si="0"/>
        <v>183.41999999999996</v>
      </c>
    </row>
    <row r="29" spans="2:16" x14ac:dyDescent="0.3">
      <c r="B29">
        <v>2011</v>
      </c>
      <c r="C29">
        <v>57.62</v>
      </c>
      <c r="D29">
        <v>12.25</v>
      </c>
      <c r="E29">
        <v>46.73</v>
      </c>
      <c r="F29">
        <v>16.350000000000001</v>
      </c>
      <c r="G29">
        <v>11.86</v>
      </c>
      <c r="H29">
        <v>1.24</v>
      </c>
      <c r="I29">
        <v>0.02</v>
      </c>
      <c r="J29">
        <v>22.43</v>
      </c>
      <c r="K29">
        <v>0.03</v>
      </c>
      <c r="L29">
        <v>105.21</v>
      </c>
      <c r="M29">
        <v>76.180000000000007</v>
      </c>
      <c r="N29">
        <v>5.72</v>
      </c>
      <c r="P29">
        <f t="shared" si="0"/>
        <v>355.64000000000004</v>
      </c>
    </row>
    <row r="30" spans="2:16" x14ac:dyDescent="0.3">
      <c r="B30">
        <v>2012</v>
      </c>
      <c r="C30">
        <v>25.95</v>
      </c>
      <c r="D30">
        <v>44.35</v>
      </c>
      <c r="E30">
        <v>20.97</v>
      </c>
      <c r="F30">
        <v>33.68</v>
      </c>
      <c r="G30">
        <v>10.35</v>
      </c>
      <c r="H30">
        <v>3.08</v>
      </c>
      <c r="I30">
        <v>6.83</v>
      </c>
      <c r="J30">
        <v>0.2</v>
      </c>
      <c r="K30">
        <v>0.81</v>
      </c>
      <c r="L30">
        <v>13.04</v>
      </c>
      <c r="M30">
        <v>42.02</v>
      </c>
      <c r="N30">
        <v>38.340000000000003</v>
      </c>
      <c r="P30">
        <f t="shared" si="0"/>
        <v>239.62</v>
      </c>
    </row>
    <row r="31" spans="2:16" x14ac:dyDescent="0.3">
      <c r="B31">
        <v>2013</v>
      </c>
      <c r="C31">
        <v>27.04</v>
      </c>
      <c r="D31">
        <v>27.63</v>
      </c>
      <c r="E31">
        <v>21.46</v>
      </c>
      <c r="F31">
        <v>9.08</v>
      </c>
      <c r="G31">
        <v>13.3</v>
      </c>
      <c r="H31">
        <v>0.04</v>
      </c>
      <c r="I31">
        <v>0</v>
      </c>
      <c r="J31">
        <v>0.02</v>
      </c>
      <c r="K31">
        <v>0</v>
      </c>
      <c r="L31">
        <v>2.4</v>
      </c>
      <c r="M31">
        <v>28.28</v>
      </c>
      <c r="N31">
        <v>28.41</v>
      </c>
      <c r="P31">
        <f t="shared" si="0"/>
        <v>157.66</v>
      </c>
    </row>
    <row r="32" spans="2:16" x14ac:dyDescent="0.3">
      <c r="B32">
        <v>2014</v>
      </c>
      <c r="C32">
        <v>6.25</v>
      </c>
      <c r="D32">
        <v>10.55</v>
      </c>
      <c r="E32">
        <v>21.88</v>
      </c>
      <c r="F32">
        <v>11.32</v>
      </c>
      <c r="G32">
        <v>14.09</v>
      </c>
      <c r="H32">
        <v>1.24</v>
      </c>
      <c r="I32">
        <v>2.02</v>
      </c>
      <c r="J32">
        <v>0</v>
      </c>
      <c r="K32">
        <v>0</v>
      </c>
      <c r="L32">
        <v>10.220000000000001</v>
      </c>
      <c r="M32">
        <v>18.88</v>
      </c>
      <c r="N32">
        <v>21.85</v>
      </c>
      <c r="P32">
        <f t="shared" si="0"/>
        <v>118.29999999999998</v>
      </c>
    </row>
    <row r="33" spans="2:16" x14ac:dyDescent="0.3">
      <c r="B33">
        <v>2015</v>
      </c>
      <c r="C33">
        <v>8.02</v>
      </c>
      <c r="D33">
        <v>20.83</v>
      </c>
      <c r="E33">
        <v>41.66</v>
      </c>
      <c r="F33">
        <v>16.02</v>
      </c>
      <c r="G33">
        <v>4.07</v>
      </c>
      <c r="H33">
        <v>0.02</v>
      </c>
      <c r="I33">
        <v>9.2100000000000009</v>
      </c>
      <c r="J33">
        <v>0.41</v>
      </c>
      <c r="K33">
        <v>1.75</v>
      </c>
      <c r="L33">
        <v>15.68</v>
      </c>
      <c r="M33">
        <v>39.67</v>
      </c>
      <c r="N33">
        <v>48.06</v>
      </c>
      <c r="P33">
        <f t="shared" si="0"/>
        <v>205.39999999999998</v>
      </c>
    </row>
    <row r="34" spans="2:16" x14ac:dyDescent="0.3">
      <c r="B34">
        <v>2016</v>
      </c>
      <c r="C34">
        <v>19.23</v>
      </c>
      <c r="D34">
        <v>5.62</v>
      </c>
      <c r="E34">
        <v>24.68</v>
      </c>
      <c r="F34">
        <v>20.49</v>
      </c>
      <c r="G34">
        <v>10.07</v>
      </c>
      <c r="H34">
        <v>0.02</v>
      </c>
      <c r="I34">
        <v>0.01</v>
      </c>
      <c r="J34">
        <v>0.02</v>
      </c>
      <c r="K34">
        <v>0</v>
      </c>
      <c r="L34">
        <v>0.44</v>
      </c>
      <c r="M34">
        <v>11.86</v>
      </c>
      <c r="N34">
        <v>58.65</v>
      </c>
      <c r="P34">
        <f t="shared" si="0"/>
        <v>151.09</v>
      </c>
    </row>
    <row r="35" spans="2:16" x14ac:dyDescent="0.3">
      <c r="B35">
        <v>2017</v>
      </c>
      <c r="C35">
        <v>25.23</v>
      </c>
      <c r="D35">
        <v>32.07</v>
      </c>
      <c r="E35">
        <v>39.479999999999997</v>
      </c>
      <c r="F35">
        <v>30.12</v>
      </c>
      <c r="G35">
        <v>20.059999999999999</v>
      </c>
      <c r="H35">
        <v>0</v>
      </c>
      <c r="I35">
        <v>9</v>
      </c>
      <c r="J35">
        <v>0.01</v>
      </c>
      <c r="K35">
        <v>0</v>
      </c>
      <c r="L35">
        <v>4.82</v>
      </c>
      <c r="M35">
        <v>0.04</v>
      </c>
      <c r="N35">
        <v>4.42</v>
      </c>
      <c r="P35">
        <f t="shared" si="0"/>
        <v>165.24999999999997</v>
      </c>
    </row>
    <row r="36" spans="2:16" x14ac:dyDescent="0.3">
      <c r="B36">
        <v>2018</v>
      </c>
      <c r="C36">
        <v>29.88</v>
      </c>
      <c r="D36">
        <v>28.08</v>
      </c>
      <c r="E36">
        <v>5.42</v>
      </c>
      <c r="F36">
        <v>49.48</v>
      </c>
      <c r="G36">
        <v>23.75</v>
      </c>
      <c r="H36">
        <v>5.09</v>
      </c>
      <c r="I36">
        <v>0</v>
      </c>
      <c r="J36">
        <v>0</v>
      </c>
      <c r="K36">
        <v>0.21</v>
      </c>
      <c r="L36">
        <v>15.28</v>
      </c>
      <c r="M36">
        <v>68.36</v>
      </c>
      <c r="N36">
        <v>26.45</v>
      </c>
      <c r="P36">
        <f t="shared" si="0"/>
        <v>252</v>
      </c>
    </row>
    <row r="37" spans="2:16" x14ac:dyDescent="0.3">
      <c r="B37">
        <v>2019</v>
      </c>
      <c r="C37">
        <v>47.27</v>
      </c>
      <c r="D37">
        <v>18.88</v>
      </c>
      <c r="E37">
        <v>73.489999999999995</v>
      </c>
      <c r="F37">
        <v>58.27</v>
      </c>
      <c r="G37">
        <v>7.12</v>
      </c>
      <c r="H37">
        <v>1</v>
      </c>
      <c r="I37">
        <v>0</v>
      </c>
      <c r="J37">
        <v>0</v>
      </c>
      <c r="K37">
        <v>0.01</v>
      </c>
      <c r="L37">
        <v>66.91</v>
      </c>
      <c r="M37">
        <v>25.83</v>
      </c>
      <c r="N37">
        <v>26.66</v>
      </c>
      <c r="P37">
        <f t="shared" si="0"/>
        <v>325.44</v>
      </c>
    </row>
    <row r="38" spans="2:16" x14ac:dyDescent="0.3">
      <c r="B38">
        <v>2020</v>
      </c>
      <c r="C38">
        <v>35.51</v>
      </c>
      <c r="D38">
        <v>94.45</v>
      </c>
      <c r="E38">
        <v>57.69</v>
      </c>
      <c r="F38">
        <v>103</v>
      </c>
      <c r="G38">
        <v>16.850000000000001</v>
      </c>
      <c r="H38">
        <v>0.81</v>
      </c>
      <c r="I38">
        <v>0.24</v>
      </c>
      <c r="J38">
        <v>0</v>
      </c>
      <c r="K38">
        <v>0.01</v>
      </c>
      <c r="L38">
        <v>16.45</v>
      </c>
      <c r="M38">
        <v>72.27</v>
      </c>
      <c r="N38">
        <v>40.06</v>
      </c>
      <c r="P38">
        <f t="shared" si="0"/>
        <v>437.34</v>
      </c>
    </row>
    <row r="39" spans="2:16" x14ac:dyDescent="0.3">
      <c r="B39">
        <v>2021</v>
      </c>
      <c r="C39">
        <v>7.43</v>
      </c>
      <c r="D39">
        <v>28.03</v>
      </c>
      <c r="E39">
        <v>18.48</v>
      </c>
      <c r="F39">
        <v>0.43</v>
      </c>
      <c r="G39">
        <v>21.65</v>
      </c>
      <c r="H39">
        <v>0</v>
      </c>
      <c r="I39">
        <v>2.25</v>
      </c>
      <c r="J39">
        <v>1.42</v>
      </c>
      <c r="K39">
        <v>0</v>
      </c>
      <c r="L39">
        <v>7.21</v>
      </c>
      <c r="M39">
        <v>25.07</v>
      </c>
      <c r="N39">
        <v>36.42</v>
      </c>
      <c r="P39">
        <f t="shared" si="0"/>
        <v>148.38999999999999</v>
      </c>
    </row>
    <row r="40" spans="2:16" x14ac:dyDescent="0.3">
      <c r="B40">
        <v>2022</v>
      </c>
      <c r="C40">
        <v>15.49</v>
      </c>
      <c r="D40">
        <v>16</v>
      </c>
      <c r="E40">
        <v>16.25</v>
      </c>
      <c r="F40">
        <v>1.27</v>
      </c>
      <c r="G40">
        <v>6.11</v>
      </c>
      <c r="H40">
        <v>0</v>
      </c>
      <c r="I40">
        <v>18.29</v>
      </c>
      <c r="J40">
        <v>0</v>
      </c>
      <c r="K40">
        <v>0</v>
      </c>
      <c r="L40">
        <v>0.25</v>
      </c>
      <c r="M40">
        <v>10.67</v>
      </c>
      <c r="N40">
        <v>45.46</v>
      </c>
      <c r="P40">
        <f t="shared" si="0"/>
        <v>129.79</v>
      </c>
    </row>
    <row r="41" spans="2:16" x14ac:dyDescent="0.3">
      <c r="B41">
        <v>2023</v>
      </c>
      <c r="C41">
        <v>45.97</v>
      </c>
      <c r="D41">
        <v>27.43</v>
      </c>
      <c r="E41">
        <v>46.49</v>
      </c>
      <c r="F41">
        <v>8.39</v>
      </c>
      <c r="G41">
        <v>4.83</v>
      </c>
      <c r="H41">
        <v>6.35</v>
      </c>
      <c r="I41">
        <v>0</v>
      </c>
      <c r="J41">
        <v>1.77</v>
      </c>
      <c r="K41">
        <v>0</v>
      </c>
      <c r="L41">
        <v>5.84</v>
      </c>
      <c r="M41">
        <v>18.54</v>
      </c>
      <c r="N41">
        <v>0</v>
      </c>
      <c r="P41">
        <f t="shared" si="0"/>
        <v>165.61000000000004</v>
      </c>
    </row>
    <row r="42" spans="2:16" x14ac:dyDescent="0.3">
      <c r="B42">
        <v>2024</v>
      </c>
      <c r="C42">
        <v>24.64</v>
      </c>
      <c r="D42">
        <v>26.92</v>
      </c>
      <c r="E42">
        <v>21.33</v>
      </c>
      <c r="F42">
        <v>27.18</v>
      </c>
      <c r="G42">
        <v>38.630000000000003</v>
      </c>
      <c r="H42">
        <v>0.25</v>
      </c>
      <c r="I42">
        <v>0.25</v>
      </c>
      <c r="J42">
        <v>0</v>
      </c>
      <c r="K42">
        <v>23.62</v>
      </c>
      <c r="L42">
        <v>0.76</v>
      </c>
      <c r="M42">
        <v>16.260000000000002</v>
      </c>
      <c r="N42">
        <v>6.1</v>
      </c>
      <c r="P42">
        <f t="shared" si="0"/>
        <v>185.93999999999997</v>
      </c>
    </row>
    <row r="45" spans="2:16" x14ac:dyDescent="0.3">
      <c r="D45">
        <f>COUNT(C33:N39)</f>
        <v>84</v>
      </c>
    </row>
    <row r="46" spans="2:16" x14ac:dyDescent="0.3">
      <c r="G46">
        <f>COUNT(C33:N40)</f>
        <v>96</v>
      </c>
      <c r="P46">
        <f>30*0.8</f>
        <v>24</v>
      </c>
    </row>
    <row r="47" spans="2:16" x14ac:dyDescent="0.3">
      <c r="L47">
        <f>COUNT(C33:N42)</f>
        <v>120</v>
      </c>
    </row>
    <row r="48" spans="2:16" x14ac:dyDescent="0.3">
      <c r="D48">
        <f>COUNT(C33:N42)</f>
        <v>120</v>
      </c>
      <c r="F48">
        <f>D48*0.3</f>
        <v>36</v>
      </c>
    </row>
    <row r="49" spans="2:10" x14ac:dyDescent="0.3">
      <c r="B49">
        <f>COUNT(B13:B36)</f>
        <v>24</v>
      </c>
      <c r="D49">
        <f>D48*0.2</f>
        <v>24</v>
      </c>
      <c r="E49">
        <f>120-D49</f>
        <v>96</v>
      </c>
    </row>
    <row r="50" spans="2:10" x14ac:dyDescent="0.3">
      <c r="D50">
        <f>D48*0.3</f>
        <v>36</v>
      </c>
      <c r="E50">
        <f>120-D50</f>
        <v>84</v>
      </c>
      <c r="J50">
        <v>1995</v>
      </c>
    </row>
    <row r="51" spans="2:10" x14ac:dyDescent="0.3">
      <c r="J51">
        <v>2024</v>
      </c>
    </row>
    <row r="54" spans="2:10" x14ac:dyDescent="0.3">
      <c r="J54">
        <f>J50-J51</f>
        <v>-29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Q39"/>
  <sheetViews>
    <sheetView topLeftCell="B22" workbookViewId="0">
      <selection activeCell="D30" sqref="D30:O39"/>
    </sheetView>
  </sheetViews>
  <sheetFormatPr defaultRowHeight="14.4" x14ac:dyDescent="0.3"/>
  <sheetData>
    <row r="4" spans="3:17" x14ac:dyDescent="0.3">
      <c r="C4" t="s">
        <v>0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</row>
    <row r="5" spans="3:17" x14ac:dyDescent="0.3">
      <c r="C5">
        <v>1990</v>
      </c>
      <c r="D5">
        <v>3.74</v>
      </c>
      <c r="E5">
        <v>23.45</v>
      </c>
      <c r="F5">
        <v>16.13</v>
      </c>
      <c r="G5">
        <v>3.12</v>
      </c>
      <c r="H5">
        <v>2</v>
      </c>
      <c r="I5">
        <v>0</v>
      </c>
      <c r="J5">
        <v>1.01</v>
      </c>
      <c r="K5">
        <v>0</v>
      </c>
      <c r="L5">
        <v>0</v>
      </c>
      <c r="M5">
        <v>0.01</v>
      </c>
      <c r="N5">
        <v>0.1</v>
      </c>
      <c r="O5">
        <v>19.510000000000002</v>
      </c>
      <c r="Q5">
        <f>SUM(D5:O5)</f>
        <v>69.069999999999993</v>
      </c>
    </row>
    <row r="6" spans="3:17" x14ac:dyDescent="0.3">
      <c r="C6">
        <v>1991</v>
      </c>
      <c r="D6">
        <v>7.61</v>
      </c>
      <c r="E6">
        <v>17.64</v>
      </c>
      <c r="F6">
        <v>87.95</v>
      </c>
      <c r="G6">
        <v>9.56</v>
      </c>
      <c r="H6">
        <v>36</v>
      </c>
      <c r="I6">
        <v>0</v>
      </c>
      <c r="J6">
        <v>0.01</v>
      </c>
      <c r="K6">
        <v>0</v>
      </c>
      <c r="L6">
        <v>0</v>
      </c>
      <c r="M6">
        <v>1.22</v>
      </c>
      <c r="N6">
        <v>10.01</v>
      </c>
      <c r="O6">
        <v>27.82</v>
      </c>
      <c r="Q6">
        <f t="shared" ref="Q6:Q39" si="0">SUM(D6:O6)</f>
        <v>197.81999999999996</v>
      </c>
    </row>
    <row r="7" spans="3:17" x14ac:dyDescent="0.3">
      <c r="C7">
        <v>1992</v>
      </c>
      <c r="D7">
        <v>15.64</v>
      </c>
      <c r="E7">
        <v>12.74</v>
      </c>
      <c r="F7">
        <v>25.01</v>
      </c>
      <c r="G7">
        <v>25.74</v>
      </c>
      <c r="H7">
        <v>18.84</v>
      </c>
      <c r="I7">
        <v>8.7100000000000009</v>
      </c>
      <c r="J7">
        <v>0.01</v>
      </c>
      <c r="K7">
        <v>0</v>
      </c>
      <c r="L7">
        <v>0</v>
      </c>
      <c r="M7">
        <v>2.0099999999999998</v>
      </c>
      <c r="N7">
        <v>0.2</v>
      </c>
      <c r="O7">
        <v>4.63</v>
      </c>
      <c r="Q7">
        <f t="shared" si="0"/>
        <v>113.53000000000002</v>
      </c>
    </row>
    <row r="8" spans="3:17" x14ac:dyDescent="0.3">
      <c r="C8">
        <v>1993</v>
      </c>
      <c r="D8">
        <v>12.02</v>
      </c>
      <c r="E8">
        <v>59.62</v>
      </c>
      <c r="F8">
        <v>26.51</v>
      </c>
      <c r="G8">
        <v>19.72</v>
      </c>
      <c r="H8">
        <v>2.0099999999999998</v>
      </c>
      <c r="I8">
        <v>6.21</v>
      </c>
      <c r="J8">
        <v>0</v>
      </c>
      <c r="K8">
        <v>0</v>
      </c>
      <c r="L8">
        <v>0</v>
      </c>
      <c r="M8">
        <v>0.4</v>
      </c>
      <c r="N8">
        <v>9.26</v>
      </c>
      <c r="O8">
        <v>0.03</v>
      </c>
      <c r="Q8">
        <f t="shared" si="0"/>
        <v>135.78</v>
      </c>
    </row>
    <row r="9" spans="3:17" x14ac:dyDescent="0.3">
      <c r="C9">
        <v>1994</v>
      </c>
      <c r="D9">
        <v>6.83</v>
      </c>
      <c r="E9">
        <v>3.11</v>
      </c>
      <c r="F9">
        <v>51</v>
      </c>
      <c r="G9">
        <v>11.61</v>
      </c>
      <c r="H9">
        <v>17.010000000000002</v>
      </c>
      <c r="I9">
        <v>0.8</v>
      </c>
      <c r="J9">
        <v>0</v>
      </c>
      <c r="K9">
        <v>0</v>
      </c>
      <c r="L9">
        <v>0.01</v>
      </c>
      <c r="M9">
        <v>3.84</v>
      </c>
      <c r="N9">
        <v>39.53</v>
      </c>
      <c r="O9">
        <v>4.24</v>
      </c>
      <c r="Q9">
        <f t="shared" si="0"/>
        <v>137.98000000000002</v>
      </c>
    </row>
    <row r="10" spans="3:17" x14ac:dyDescent="0.3">
      <c r="C10">
        <v>1995</v>
      </c>
      <c r="D10">
        <v>1.41</v>
      </c>
      <c r="E10">
        <v>8.92</v>
      </c>
      <c r="F10">
        <v>12.04</v>
      </c>
      <c r="G10">
        <v>40.14</v>
      </c>
      <c r="H10">
        <v>0.41</v>
      </c>
      <c r="I10">
        <v>1.22</v>
      </c>
      <c r="J10">
        <v>0</v>
      </c>
      <c r="K10">
        <v>0</v>
      </c>
      <c r="L10">
        <v>5.0999999999999996</v>
      </c>
      <c r="M10">
        <v>0.4</v>
      </c>
      <c r="N10">
        <v>0</v>
      </c>
      <c r="O10">
        <v>3.47</v>
      </c>
      <c r="Q10">
        <f t="shared" si="0"/>
        <v>73.11</v>
      </c>
    </row>
    <row r="11" spans="3:17" x14ac:dyDescent="0.3">
      <c r="C11">
        <v>1996</v>
      </c>
      <c r="D11">
        <v>7.71</v>
      </c>
      <c r="E11">
        <v>48.59</v>
      </c>
      <c r="F11">
        <v>78.45</v>
      </c>
      <c r="G11">
        <v>32.04</v>
      </c>
      <c r="H11">
        <v>62.18</v>
      </c>
      <c r="I11">
        <v>12.11</v>
      </c>
      <c r="J11">
        <v>1.1200000000000001</v>
      </c>
      <c r="K11">
        <v>0</v>
      </c>
      <c r="L11">
        <v>0</v>
      </c>
      <c r="M11">
        <v>7.6</v>
      </c>
      <c r="N11">
        <v>0</v>
      </c>
      <c r="O11">
        <v>1.3</v>
      </c>
      <c r="Q11">
        <f t="shared" si="0"/>
        <v>251.1</v>
      </c>
    </row>
    <row r="12" spans="3:17" x14ac:dyDescent="0.3">
      <c r="C12">
        <v>1997</v>
      </c>
      <c r="D12">
        <v>0.11</v>
      </c>
      <c r="E12">
        <v>0.01</v>
      </c>
      <c r="F12">
        <v>33.200000000000003</v>
      </c>
      <c r="G12">
        <v>1.01</v>
      </c>
      <c r="H12">
        <v>0.73</v>
      </c>
      <c r="I12">
        <v>7.72</v>
      </c>
      <c r="J12">
        <v>0.01</v>
      </c>
      <c r="K12">
        <v>0</v>
      </c>
      <c r="L12">
        <v>0</v>
      </c>
      <c r="M12">
        <v>1.02</v>
      </c>
      <c r="N12">
        <v>10.93</v>
      </c>
      <c r="O12">
        <v>18.8</v>
      </c>
      <c r="Q12">
        <f t="shared" si="0"/>
        <v>73.539999999999992</v>
      </c>
    </row>
    <row r="13" spans="3:17" x14ac:dyDescent="0.3">
      <c r="C13">
        <v>1998</v>
      </c>
      <c r="D13">
        <v>34.03</v>
      </c>
      <c r="E13">
        <v>40.04</v>
      </c>
      <c r="F13">
        <v>23.82</v>
      </c>
      <c r="G13">
        <v>18.53</v>
      </c>
      <c r="H13">
        <v>5.44</v>
      </c>
      <c r="I13">
        <v>0.21</v>
      </c>
      <c r="J13">
        <v>5.22</v>
      </c>
      <c r="K13">
        <v>4.42</v>
      </c>
      <c r="L13">
        <v>3.71</v>
      </c>
      <c r="M13">
        <v>3.1</v>
      </c>
      <c r="N13">
        <v>0</v>
      </c>
      <c r="O13">
        <v>18.8</v>
      </c>
      <c r="Q13">
        <f t="shared" si="0"/>
        <v>157.32</v>
      </c>
    </row>
    <row r="14" spans="3:17" x14ac:dyDescent="0.3">
      <c r="C14">
        <v>1999</v>
      </c>
      <c r="D14">
        <v>18.82</v>
      </c>
      <c r="E14">
        <v>9.01</v>
      </c>
      <c r="F14">
        <v>24.11</v>
      </c>
      <c r="G14">
        <v>19.010000000000002</v>
      </c>
      <c r="H14">
        <v>0.01</v>
      </c>
      <c r="I14">
        <v>0</v>
      </c>
      <c r="J14">
        <v>22.9</v>
      </c>
      <c r="K14">
        <v>0.01</v>
      </c>
      <c r="L14">
        <v>3</v>
      </c>
      <c r="M14">
        <v>7.7</v>
      </c>
      <c r="N14">
        <v>19.61</v>
      </c>
      <c r="O14">
        <v>4.4000000000000004</v>
      </c>
      <c r="Q14">
        <f t="shared" si="0"/>
        <v>128.58000000000001</v>
      </c>
    </row>
    <row r="15" spans="3:17" x14ac:dyDescent="0.3">
      <c r="C15">
        <v>2000</v>
      </c>
      <c r="D15">
        <v>33.299999999999997</v>
      </c>
      <c r="E15">
        <v>16.91</v>
      </c>
      <c r="F15">
        <v>0.81</v>
      </c>
      <c r="G15">
        <v>0.01</v>
      </c>
      <c r="H15">
        <v>0</v>
      </c>
      <c r="I15">
        <v>1</v>
      </c>
      <c r="J15">
        <v>10.3</v>
      </c>
      <c r="K15">
        <v>0</v>
      </c>
      <c r="L15">
        <v>2</v>
      </c>
      <c r="M15">
        <v>20.309999999999999</v>
      </c>
      <c r="N15">
        <v>11.6</v>
      </c>
      <c r="O15">
        <v>44.31</v>
      </c>
      <c r="Q15">
        <f t="shared" si="0"/>
        <v>140.55000000000001</v>
      </c>
    </row>
    <row r="16" spans="3:17" x14ac:dyDescent="0.3">
      <c r="C16">
        <v>2001</v>
      </c>
      <c r="D16">
        <v>4.0199999999999996</v>
      </c>
      <c r="E16">
        <v>10</v>
      </c>
      <c r="F16">
        <v>12.71</v>
      </c>
      <c r="G16">
        <v>0.8</v>
      </c>
      <c r="H16">
        <v>2.0099999999999998</v>
      </c>
      <c r="I16">
        <v>8.6</v>
      </c>
      <c r="J16">
        <v>0</v>
      </c>
      <c r="K16">
        <v>5.05</v>
      </c>
      <c r="L16">
        <v>3.33</v>
      </c>
      <c r="M16">
        <v>5.42</v>
      </c>
      <c r="N16">
        <v>1.9</v>
      </c>
      <c r="O16">
        <v>15.84</v>
      </c>
      <c r="Q16">
        <f t="shared" si="0"/>
        <v>69.679999999999993</v>
      </c>
    </row>
    <row r="17" spans="3:17" x14ac:dyDescent="0.3">
      <c r="C17">
        <v>2002</v>
      </c>
      <c r="D17">
        <v>24.31</v>
      </c>
      <c r="E17">
        <v>10.52</v>
      </c>
      <c r="F17">
        <v>4.5199999999999996</v>
      </c>
      <c r="G17">
        <v>84.62</v>
      </c>
      <c r="H17">
        <v>6.21</v>
      </c>
      <c r="I17">
        <v>0</v>
      </c>
      <c r="J17">
        <v>4.03</v>
      </c>
      <c r="K17">
        <v>0.02</v>
      </c>
      <c r="L17">
        <v>0</v>
      </c>
      <c r="M17">
        <v>0.8</v>
      </c>
      <c r="N17">
        <v>6.22</v>
      </c>
      <c r="O17">
        <v>24.33</v>
      </c>
      <c r="Q17">
        <f t="shared" si="0"/>
        <v>165.58000000000004</v>
      </c>
    </row>
    <row r="18" spans="3:17" x14ac:dyDescent="0.3">
      <c r="C18">
        <v>2003</v>
      </c>
      <c r="D18">
        <v>39.31</v>
      </c>
      <c r="E18">
        <v>0.72</v>
      </c>
      <c r="F18">
        <v>11.94</v>
      </c>
      <c r="G18">
        <v>37.21</v>
      </c>
      <c r="H18">
        <v>14.01</v>
      </c>
      <c r="I18">
        <v>0.6</v>
      </c>
      <c r="J18">
        <v>0</v>
      </c>
      <c r="K18">
        <v>0.1</v>
      </c>
      <c r="L18">
        <v>0</v>
      </c>
      <c r="M18">
        <v>0.61</v>
      </c>
      <c r="N18">
        <v>3.71</v>
      </c>
      <c r="O18">
        <v>14.82</v>
      </c>
      <c r="Q18">
        <f t="shared" si="0"/>
        <v>123.03</v>
      </c>
    </row>
    <row r="19" spans="3:17" x14ac:dyDescent="0.3">
      <c r="C19">
        <v>2004</v>
      </c>
      <c r="D19">
        <v>39.31</v>
      </c>
      <c r="E19">
        <v>0.72</v>
      </c>
      <c r="F19">
        <v>11.94</v>
      </c>
      <c r="G19">
        <v>29.21</v>
      </c>
      <c r="H19">
        <v>13.92</v>
      </c>
      <c r="I19">
        <v>0</v>
      </c>
      <c r="J19">
        <v>42.71</v>
      </c>
      <c r="K19">
        <v>4</v>
      </c>
      <c r="L19">
        <v>7</v>
      </c>
      <c r="M19">
        <v>2.2200000000000002</v>
      </c>
      <c r="N19">
        <v>22.52</v>
      </c>
      <c r="O19">
        <v>32.22</v>
      </c>
      <c r="Q19">
        <f t="shared" si="0"/>
        <v>205.77</v>
      </c>
    </row>
    <row r="20" spans="3:17" x14ac:dyDescent="0.3">
      <c r="C20">
        <v>2005</v>
      </c>
      <c r="D20">
        <v>37.71</v>
      </c>
      <c r="E20">
        <v>2.2400000000000002</v>
      </c>
      <c r="F20">
        <v>15.46</v>
      </c>
      <c r="G20">
        <v>8</v>
      </c>
      <c r="H20">
        <v>16.14</v>
      </c>
      <c r="I20">
        <v>0</v>
      </c>
      <c r="J20">
        <v>0</v>
      </c>
      <c r="K20">
        <v>13.63</v>
      </c>
      <c r="L20">
        <v>0</v>
      </c>
      <c r="M20">
        <v>0</v>
      </c>
      <c r="N20">
        <v>18.309999999999999</v>
      </c>
      <c r="O20">
        <v>22.62</v>
      </c>
      <c r="Q20">
        <f t="shared" si="0"/>
        <v>134.11000000000001</v>
      </c>
    </row>
    <row r="21" spans="3:17" x14ac:dyDescent="0.3">
      <c r="C21">
        <v>2006</v>
      </c>
      <c r="D21">
        <v>52.34</v>
      </c>
      <c r="E21">
        <v>32.409999999999997</v>
      </c>
      <c r="F21">
        <v>13.51</v>
      </c>
      <c r="G21">
        <v>13.32</v>
      </c>
      <c r="H21">
        <v>4.95</v>
      </c>
      <c r="I21">
        <v>0</v>
      </c>
      <c r="J21">
        <v>0.9</v>
      </c>
      <c r="K21">
        <v>0</v>
      </c>
      <c r="L21">
        <v>0</v>
      </c>
      <c r="M21">
        <v>3.04</v>
      </c>
      <c r="N21">
        <v>2</v>
      </c>
      <c r="O21">
        <v>58.06</v>
      </c>
      <c r="Q21">
        <f t="shared" si="0"/>
        <v>180.53000000000003</v>
      </c>
    </row>
    <row r="22" spans="3:17" x14ac:dyDescent="0.3">
      <c r="C22">
        <v>2007</v>
      </c>
      <c r="D22">
        <v>7.33</v>
      </c>
      <c r="E22">
        <v>53.76</v>
      </c>
      <c r="F22">
        <v>49.36</v>
      </c>
      <c r="G22">
        <v>35.72</v>
      </c>
      <c r="H22">
        <v>3.02</v>
      </c>
      <c r="I22">
        <v>47.12</v>
      </c>
      <c r="J22">
        <v>0</v>
      </c>
      <c r="K22">
        <v>0.01</v>
      </c>
      <c r="L22">
        <v>1</v>
      </c>
      <c r="M22">
        <v>8.31</v>
      </c>
      <c r="N22">
        <v>17.45</v>
      </c>
      <c r="O22">
        <v>18.100000000000001</v>
      </c>
      <c r="Q22">
        <f t="shared" si="0"/>
        <v>241.17999999999998</v>
      </c>
    </row>
    <row r="23" spans="3:17" x14ac:dyDescent="0.3">
      <c r="C23">
        <v>2008</v>
      </c>
      <c r="D23">
        <v>4.05</v>
      </c>
      <c r="E23">
        <v>11.31</v>
      </c>
      <c r="F23">
        <v>0</v>
      </c>
      <c r="G23">
        <v>5.0199999999999996</v>
      </c>
      <c r="H23">
        <v>3.33</v>
      </c>
      <c r="I23">
        <v>0</v>
      </c>
      <c r="J23">
        <v>1.01</v>
      </c>
      <c r="K23">
        <v>0</v>
      </c>
      <c r="L23">
        <v>0</v>
      </c>
      <c r="M23">
        <v>10.210000000000001</v>
      </c>
      <c r="N23">
        <v>4.13</v>
      </c>
      <c r="O23">
        <v>19.010000000000002</v>
      </c>
      <c r="Q23">
        <f t="shared" si="0"/>
        <v>58.070000000000007</v>
      </c>
    </row>
    <row r="24" spans="3:17" x14ac:dyDescent="0.3">
      <c r="C24">
        <v>2009</v>
      </c>
      <c r="D24">
        <v>8.6300000000000008</v>
      </c>
      <c r="E24">
        <v>34.94</v>
      </c>
      <c r="F24">
        <v>22.21</v>
      </c>
      <c r="G24">
        <v>5.35</v>
      </c>
      <c r="H24">
        <v>6.73</v>
      </c>
      <c r="I24">
        <v>13.36</v>
      </c>
      <c r="J24">
        <v>0</v>
      </c>
      <c r="K24">
        <v>0.2</v>
      </c>
      <c r="L24">
        <v>3.3</v>
      </c>
      <c r="M24">
        <v>0.2</v>
      </c>
      <c r="N24">
        <v>15.4</v>
      </c>
      <c r="O24">
        <v>14.1</v>
      </c>
      <c r="Q24">
        <f t="shared" si="0"/>
        <v>124.42</v>
      </c>
    </row>
    <row r="25" spans="3:17" x14ac:dyDescent="0.3">
      <c r="C25">
        <v>2010</v>
      </c>
      <c r="D25">
        <v>9.9</v>
      </c>
      <c r="E25">
        <v>29.4</v>
      </c>
      <c r="F25">
        <v>6.4</v>
      </c>
      <c r="G25">
        <v>8.1199999999999992</v>
      </c>
      <c r="H25">
        <v>3.7</v>
      </c>
      <c r="I25">
        <v>0.8</v>
      </c>
      <c r="J25">
        <v>0</v>
      </c>
      <c r="K25">
        <v>11.41</v>
      </c>
      <c r="L25">
        <v>2.81</v>
      </c>
      <c r="M25">
        <v>9.1999999999999993</v>
      </c>
      <c r="N25">
        <v>10.11</v>
      </c>
      <c r="O25">
        <v>0.3</v>
      </c>
      <c r="Q25">
        <f t="shared" si="0"/>
        <v>92.149999999999991</v>
      </c>
    </row>
    <row r="26" spans="3:17" x14ac:dyDescent="0.3">
      <c r="C26">
        <v>2011</v>
      </c>
      <c r="D26">
        <v>22.03</v>
      </c>
      <c r="E26">
        <v>17.52</v>
      </c>
      <c r="F26">
        <v>14.34</v>
      </c>
      <c r="G26">
        <v>6.73</v>
      </c>
      <c r="H26">
        <v>2.02</v>
      </c>
      <c r="I26">
        <v>0.8</v>
      </c>
      <c r="J26">
        <v>0</v>
      </c>
      <c r="K26">
        <v>25.2</v>
      </c>
      <c r="L26">
        <v>6.4</v>
      </c>
      <c r="M26">
        <v>21.72</v>
      </c>
      <c r="N26">
        <v>45.23</v>
      </c>
      <c r="O26">
        <v>1.31</v>
      </c>
      <c r="Q26">
        <f t="shared" si="0"/>
        <v>163.30000000000001</v>
      </c>
    </row>
    <row r="27" spans="3:17" x14ac:dyDescent="0.3">
      <c r="C27">
        <v>2012</v>
      </c>
      <c r="D27">
        <v>0.12</v>
      </c>
      <c r="E27">
        <v>61.66</v>
      </c>
      <c r="F27">
        <v>12.53</v>
      </c>
      <c r="G27">
        <v>15.83</v>
      </c>
      <c r="H27">
        <v>12.24</v>
      </c>
      <c r="I27">
        <v>2.92</v>
      </c>
      <c r="J27">
        <v>0.53</v>
      </c>
      <c r="K27">
        <v>3.01</v>
      </c>
      <c r="L27">
        <v>0</v>
      </c>
      <c r="M27">
        <v>0.7</v>
      </c>
      <c r="N27">
        <v>7.91</v>
      </c>
      <c r="O27">
        <v>31.72</v>
      </c>
      <c r="Q27">
        <f t="shared" si="0"/>
        <v>149.16999999999999</v>
      </c>
    </row>
    <row r="28" spans="3:17" x14ac:dyDescent="0.3">
      <c r="C28">
        <v>2013</v>
      </c>
      <c r="D28">
        <v>29.31</v>
      </c>
      <c r="E28">
        <v>9.8000000000000007</v>
      </c>
      <c r="F28">
        <v>11.12</v>
      </c>
      <c r="G28">
        <v>8.5399999999999991</v>
      </c>
      <c r="H28">
        <v>7.72</v>
      </c>
      <c r="I28">
        <v>0.3</v>
      </c>
      <c r="J28">
        <v>0</v>
      </c>
      <c r="K28">
        <v>0.2</v>
      </c>
      <c r="L28">
        <v>0</v>
      </c>
      <c r="M28">
        <v>0.01</v>
      </c>
      <c r="N28">
        <v>35.33</v>
      </c>
      <c r="O28">
        <v>3.31</v>
      </c>
      <c r="Q28">
        <f t="shared" si="0"/>
        <v>105.64</v>
      </c>
    </row>
    <row r="29" spans="3:17" x14ac:dyDescent="0.3">
      <c r="C29">
        <v>2014</v>
      </c>
      <c r="D29">
        <v>5.94</v>
      </c>
      <c r="E29">
        <v>0.02</v>
      </c>
      <c r="F29">
        <v>19.22</v>
      </c>
      <c r="G29">
        <v>17.62</v>
      </c>
      <c r="H29">
        <v>6.63</v>
      </c>
      <c r="I29">
        <v>13.01</v>
      </c>
      <c r="J29">
        <v>1</v>
      </c>
      <c r="K29">
        <v>0</v>
      </c>
      <c r="L29">
        <v>0</v>
      </c>
      <c r="M29">
        <v>7.02</v>
      </c>
      <c r="N29">
        <v>6.16</v>
      </c>
      <c r="O29">
        <v>15.3</v>
      </c>
      <c r="Q29">
        <f t="shared" si="0"/>
        <v>91.919999999999987</v>
      </c>
    </row>
    <row r="30" spans="3:17" x14ac:dyDescent="0.3">
      <c r="C30">
        <v>2015</v>
      </c>
      <c r="D30">
        <v>3.3</v>
      </c>
      <c r="E30">
        <v>36.32</v>
      </c>
      <c r="F30">
        <v>16.64</v>
      </c>
      <c r="G30">
        <v>3.13</v>
      </c>
      <c r="H30">
        <v>1.83</v>
      </c>
      <c r="I30">
        <v>0</v>
      </c>
      <c r="J30">
        <v>2.02</v>
      </c>
      <c r="K30">
        <v>0</v>
      </c>
      <c r="L30">
        <v>35.43</v>
      </c>
      <c r="M30">
        <v>11.64</v>
      </c>
      <c r="N30">
        <v>4.21</v>
      </c>
      <c r="O30">
        <v>8.82</v>
      </c>
      <c r="Q30">
        <f t="shared" si="0"/>
        <v>123.34</v>
      </c>
    </row>
    <row r="31" spans="3:17" x14ac:dyDescent="0.3">
      <c r="C31">
        <v>2016</v>
      </c>
      <c r="D31">
        <v>18.52</v>
      </c>
      <c r="E31">
        <v>8.0299999999999994</v>
      </c>
      <c r="F31">
        <v>4.8499999999999996</v>
      </c>
      <c r="G31">
        <v>15.83</v>
      </c>
      <c r="H31">
        <v>34.15</v>
      </c>
      <c r="I31">
        <v>0</v>
      </c>
      <c r="J31">
        <v>0</v>
      </c>
      <c r="K31">
        <v>0.01</v>
      </c>
      <c r="L31">
        <v>0.2</v>
      </c>
      <c r="M31">
        <v>0</v>
      </c>
      <c r="N31">
        <v>1.92</v>
      </c>
      <c r="O31">
        <v>36.409999999999997</v>
      </c>
      <c r="Q31">
        <f t="shared" si="0"/>
        <v>119.92</v>
      </c>
    </row>
    <row r="32" spans="3:17" x14ac:dyDescent="0.3">
      <c r="C32">
        <v>2017</v>
      </c>
      <c r="D32">
        <v>12</v>
      </c>
      <c r="E32">
        <v>17.55</v>
      </c>
      <c r="F32">
        <v>9.24</v>
      </c>
      <c r="G32">
        <v>19.02</v>
      </c>
      <c r="H32">
        <v>14.42</v>
      </c>
      <c r="I32">
        <v>0</v>
      </c>
      <c r="J32">
        <v>1.53</v>
      </c>
      <c r="K32">
        <v>0</v>
      </c>
      <c r="L32">
        <v>0</v>
      </c>
      <c r="M32">
        <v>0.8</v>
      </c>
      <c r="N32">
        <v>0</v>
      </c>
      <c r="O32">
        <v>0</v>
      </c>
      <c r="Q32">
        <f t="shared" si="0"/>
        <v>74.56</v>
      </c>
    </row>
    <row r="33" spans="3:17" x14ac:dyDescent="0.3">
      <c r="C33">
        <v>2018</v>
      </c>
      <c r="D33">
        <v>5.72</v>
      </c>
      <c r="E33">
        <v>20.64</v>
      </c>
      <c r="F33">
        <v>1.1200000000000001</v>
      </c>
      <c r="G33">
        <v>31.41</v>
      </c>
      <c r="H33">
        <v>10.55</v>
      </c>
      <c r="I33">
        <v>4.83</v>
      </c>
      <c r="J33">
        <v>0</v>
      </c>
      <c r="K33">
        <v>0.1</v>
      </c>
      <c r="L33">
        <v>7.3</v>
      </c>
      <c r="M33">
        <v>21.62</v>
      </c>
      <c r="N33">
        <v>13.3</v>
      </c>
      <c r="O33">
        <v>6.54</v>
      </c>
      <c r="Q33">
        <f t="shared" si="0"/>
        <v>123.13</v>
      </c>
    </row>
    <row r="34" spans="3:17" x14ac:dyDescent="0.3">
      <c r="C34">
        <v>2019</v>
      </c>
      <c r="D34">
        <v>27</v>
      </c>
      <c r="E34">
        <v>12.81</v>
      </c>
      <c r="F34">
        <v>33.11</v>
      </c>
      <c r="G34">
        <v>22.54</v>
      </c>
      <c r="H34">
        <v>37.85</v>
      </c>
      <c r="I34">
        <v>2.21</v>
      </c>
      <c r="J34">
        <v>0</v>
      </c>
      <c r="K34">
        <v>0.01</v>
      </c>
      <c r="L34">
        <v>0</v>
      </c>
      <c r="M34">
        <v>28.13</v>
      </c>
      <c r="N34">
        <v>10.52</v>
      </c>
      <c r="O34">
        <v>0.53</v>
      </c>
      <c r="Q34">
        <f t="shared" si="0"/>
        <v>174.71</v>
      </c>
    </row>
    <row r="35" spans="3:17" x14ac:dyDescent="0.3">
      <c r="C35">
        <v>2020</v>
      </c>
      <c r="D35">
        <v>8.5</v>
      </c>
      <c r="E35">
        <v>28.44</v>
      </c>
      <c r="F35">
        <v>20.350000000000001</v>
      </c>
      <c r="G35">
        <v>43.73</v>
      </c>
      <c r="H35">
        <v>12.81</v>
      </c>
      <c r="I35">
        <v>0</v>
      </c>
      <c r="J35">
        <v>1.1499999999999999</v>
      </c>
      <c r="K35">
        <v>0</v>
      </c>
      <c r="L35">
        <v>0.02</v>
      </c>
      <c r="M35">
        <v>0.31</v>
      </c>
      <c r="N35">
        <v>25.24</v>
      </c>
      <c r="O35">
        <v>20.149999999999999</v>
      </c>
      <c r="Q35">
        <f t="shared" si="0"/>
        <v>160.70000000000002</v>
      </c>
    </row>
    <row r="36" spans="3:17" x14ac:dyDescent="0.3">
      <c r="C36">
        <v>2021</v>
      </c>
      <c r="D36">
        <v>0.01</v>
      </c>
      <c r="E36">
        <v>0.3</v>
      </c>
      <c r="F36">
        <v>15.45</v>
      </c>
      <c r="G36">
        <v>3.81</v>
      </c>
      <c r="H36">
        <v>59.59</v>
      </c>
      <c r="I36">
        <v>0.02</v>
      </c>
      <c r="J36">
        <v>0.22</v>
      </c>
      <c r="K36">
        <v>2.3199999999999998</v>
      </c>
      <c r="L36">
        <v>0</v>
      </c>
      <c r="M36">
        <v>0.2</v>
      </c>
      <c r="N36">
        <v>0.63</v>
      </c>
      <c r="O36">
        <v>1.04</v>
      </c>
      <c r="Q36">
        <f t="shared" si="0"/>
        <v>83.589999999999989</v>
      </c>
    </row>
    <row r="37" spans="3:17" x14ac:dyDescent="0.3">
      <c r="C37">
        <v>2022</v>
      </c>
      <c r="D37">
        <v>6.61</v>
      </c>
      <c r="E37">
        <v>8.64</v>
      </c>
      <c r="F37">
        <v>6.09</v>
      </c>
      <c r="G37">
        <v>8.39</v>
      </c>
      <c r="H37">
        <v>20.82</v>
      </c>
      <c r="I37">
        <v>0.25</v>
      </c>
      <c r="J37">
        <v>8.3800000000000008</v>
      </c>
      <c r="K37">
        <v>0</v>
      </c>
      <c r="L37">
        <v>0.25</v>
      </c>
      <c r="M37">
        <v>0</v>
      </c>
      <c r="N37">
        <v>1.02</v>
      </c>
      <c r="O37">
        <v>3.56</v>
      </c>
      <c r="Q37">
        <f t="shared" si="0"/>
        <v>64.010000000000005</v>
      </c>
    </row>
    <row r="38" spans="3:17" x14ac:dyDescent="0.3">
      <c r="C38">
        <v>2023</v>
      </c>
      <c r="D38">
        <v>12.45</v>
      </c>
      <c r="E38">
        <v>13.46</v>
      </c>
      <c r="F38">
        <v>26.67</v>
      </c>
      <c r="G38">
        <v>3.81</v>
      </c>
      <c r="H38">
        <v>1.02</v>
      </c>
      <c r="I38">
        <v>3.56</v>
      </c>
      <c r="J38">
        <v>0</v>
      </c>
      <c r="K38">
        <v>1.27</v>
      </c>
      <c r="L38">
        <v>0</v>
      </c>
      <c r="M38">
        <v>5.84</v>
      </c>
      <c r="N38">
        <v>7.37</v>
      </c>
      <c r="O38">
        <v>0</v>
      </c>
      <c r="Q38">
        <f t="shared" si="0"/>
        <v>75.450000000000017</v>
      </c>
    </row>
    <row r="39" spans="3:17" x14ac:dyDescent="0.3">
      <c r="C39">
        <v>2024</v>
      </c>
      <c r="D39">
        <v>5.84</v>
      </c>
      <c r="E39">
        <v>25.15</v>
      </c>
      <c r="F39">
        <v>6.35</v>
      </c>
      <c r="G39">
        <v>2.0299999999999998</v>
      </c>
      <c r="H39">
        <v>14.48</v>
      </c>
      <c r="I39">
        <v>27.19</v>
      </c>
      <c r="J39">
        <v>0</v>
      </c>
      <c r="K39">
        <v>0</v>
      </c>
      <c r="L39">
        <v>3.04</v>
      </c>
      <c r="M39">
        <v>12.44</v>
      </c>
      <c r="N39">
        <v>0.25</v>
      </c>
      <c r="O39">
        <v>2.29</v>
      </c>
      <c r="Q39">
        <f t="shared" si="0"/>
        <v>99.06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P41"/>
  <sheetViews>
    <sheetView topLeftCell="B22" workbookViewId="0">
      <selection activeCell="C31" sqref="C31:N40"/>
    </sheetView>
  </sheetViews>
  <sheetFormatPr defaultRowHeight="14.4" x14ac:dyDescent="0.3"/>
  <sheetData>
    <row r="5" spans="2:16" x14ac:dyDescent="0.3">
      <c r="B5" t="s">
        <v>0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</row>
    <row r="6" spans="2:16" x14ac:dyDescent="0.3">
      <c r="B6">
        <v>1990</v>
      </c>
      <c r="C6">
        <v>36.81</v>
      </c>
      <c r="D6">
        <v>37.020000000000003</v>
      </c>
      <c r="E6">
        <v>15.44</v>
      </c>
      <c r="F6">
        <v>36.450000000000003</v>
      </c>
      <c r="G6">
        <v>3.31</v>
      </c>
      <c r="H6">
        <v>2</v>
      </c>
      <c r="I6">
        <v>0.12</v>
      </c>
      <c r="J6">
        <v>0</v>
      </c>
      <c r="K6">
        <v>0</v>
      </c>
      <c r="L6">
        <v>2.61</v>
      </c>
      <c r="M6">
        <v>11</v>
      </c>
      <c r="N6">
        <v>40.159999999999997</v>
      </c>
      <c r="P6">
        <f>SUM(C6:N6)</f>
        <v>184.92000000000002</v>
      </c>
    </row>
    <row r="7" spans="2:16" x14ac:dyDescent="0.3">
      <c r="B7">
        <v>1991</v>
      </c>
      <c r="C7">
        <v>47.93</v>
      </c>
      <c r="D7">
        <v>36.08</v>
      </c>
      <c r="E7">
        <v>99.91</v>
      </c>
      <c r="F7">
        <v>60.93</v>
      </c>
      <c r="G7">
        <v>40.840000000000003</v>
      </c>
      <c r="H7">
        <v>0.01</v>
      </c>
      <c r="I7">
        <v>0.01</v>
      </c>
      <c r="J7">
        <v>0</v>
      </c>
      <c r="K7">
        <v>15.31</v>
      </c>
      <c r="L7">
        <v>0.72</v>
      </c>
      <c r="M7">
        <v>3.31</v>
      </c>
      <c r="N7">
        <v>25.12</v>
      </c>
      <c r="P7">
        <f t="shared" ref="P7:P40" si="0">SUM(C7:N7)</f>
        <v>330.17</v>
      </c>
    </row>
    <row r="8" spans="2:16" x14ac:dyDescent="0.3">
      <c r="B8">
        <v>1992</v>
      </c>
      <c r="C8">
        <v>76.53</v>
      </c>
      <c r="D8">
        <v>26.02</v>
      </c>
      <c r="E8">
        <v>60.13</v>
      </c>
      <c r="F8">
        <v>61.25</v>
      </c>
      <c r="G8">
        <v>52.24</v>
      </c>
      <c r="H8">
        <v>46.11</v>
      </c>
      <c r="I8">
        <v>0</v>
      </c>
      <c r="J8">
        <v>0.5</v>
      </c>
      <c r="K8">
        <v>0</v>
      </c>
      <c r="L8">
        <v>0.4</v>
      </c>
      <c r="M8">
        <v>6.4</v>
      </c>
      <c r="N8">
        <v>60.65</v>
      </c>
      <c r="P8">
        <f t="shared" si="0"/>
        <v>390.22999999999996</v>
      </c>
    </row>
    <row r="9" spans="2:16" x14ac:dyDescent="0.3">
      <c r="B9">
        <v>1993</v>
      </c>
      <c r="C9">
        <v>10.43</v>
      </c>
      <c r="D9">
        <v>82.93</v>
      </c>
      <c r="E9">
        <v>50.52</v>
      </c>
      <c r="F9">
        <v>67.040000000000006</v>
      </c>
      <c r="G9">
        <v>119.63</v>
      </c>
      <c r="H9">
        <v>23.1</v>
      </c>
      <c r="I9">
        <v>0</v>
      </c>
      <c r="J9">
        <v>2.0099999999999998</v>
      </c>
      <c r="K9">
        <v>0</v>
      </c>
      <c r="L9">
        <v>2</v>
      </c>
      <c r="M9">
        <v>13.62</v>
      </c>
      <c r="N9">
        <v>8.42</v>
      </c>
      <c r="P9">
        <f t="shared" si="0"/>
        <v>379.70000000000005</v>
      </c>
    </row>
    <row r="10" spans="2:16" x14ac:dyDescent="0.3">
      <c r="B10">
        <v>1994</v>
      </c>
      <c r="C10">
        <v>1</v>
      </c>
      <c r="D10">
        <v>5.4</v>
      </c>
      <c r="E10">
        <v>45.22</v>
      </c>
      <c r="F10">
        <v>5.2</v>
      </c>
      <c r="G10">
        <v>23.61</v>
      </c>
      <c r="H10">
        <v>0</v>
      </c>
      <c r="I10">
        <v>0</v>
      </c>
      <c r="J10">
        <v>0</v>
      </c>
      <c r="K10">
        <v>0</v>
      </c>
      <c r="L10">
        <v>14.35</v>
      </c>
      <c r="M10">
        <v>13.31</v>
      </c>
      <c r="N10">
        <v>18.61</v>
      </c>
      <c r="P10">
        <f t="shared" si="0"/>
        <v>126.7</v>
      </c>
    </row>
    <row r="11" spans="2:16" x14ac:dyDescent="0.3">
      <c r="B11">
        <v>1995</v>
      </c>
      <c r="C11">
        <v>24.93</v>
      </c>
      <c r="D11">
        <v>67.739999999999995</v>
      </c>
      <c r="E11">
        <v>52.62</v>
      </c>
      <c r="F11">
        <v>26.5</v>
      </c>
      <c r="G11">
        <v>45</v>
      </c>
      <c r="H11">
        <v>7.8</v>
      </c>
      <c r="I11">
        <v>0</v>
      </c>
      <c r="J11">
        <v>0</v>
      </c>
      <c r="K11">
        <v>26.01</v>
      </c>
      <c r="L11">
        <v>3.02</v>
      </c>
      <c r="M11">
        <v>1.1100000000000001</v>
      </c>
      <c r="N11">
        <v>6.27</v>
      </c>
      <c r="P11">
        <f t="shared" si="0"/>
        <v>261</v>
      </c>
    </row>
    <row r="12" spans="2:16" x14ac:dyDescent="0.3">
      <c r="B12">
        <v>1996</v>
      </c>
      <c r="C12">
        <v>10.65</v>
      </c>
      <c r="D12">
        <v>19.940000000000001</v>
      </c>
      <c r="E12">
        <v>73.77</v>
      </c>
      <c r="F12">
        <v>34.659999999999997</v>
      </c>
      <c r="G12">
        <v>13.65</v>
      </c>
      <c r="H12">
        <v>5</v>
      </c>
      <c r="I12">
        <v>0</v>
      </c>
      <c r="J12">
        <v>0</v>
      </c>
      <c r="K12">
        <v>2.1</v>
      </c>
      <c r="L12">
        <v>13.71</v>
      </c>
      <c r="M12">
        <v>11.71</v>
      </c>
      <c r="N12">
        <v>10.14</v>
      </c>
      <c r="P12">
        <f t="shared" si="0"/>
        <v>195.32999999999998</v>
      </c>
    </row>
    <row r="13" spans="2:16" x14ac:dyDescent="0.3">
      <c r="B13">
        <v>1997</v>
      </c>
      <c r="C13">
        <v>34.119999999999997</v>
      </c>
      <c r="D13">
        <v>11.35</v>
      </c>
      <c r="E13">
        <v>37.979999999999997</v>
      </c>
      <c r="F13">
        <v>17.04</v>
      </c>
      <c r="G13">
        <v>52.04</v>
      </c>
      <c r="H13">
        <v>14.03</v>
      </c>
      <c r="I13">
        <v>0.2</v>
      </c>
      <c r="J13">
        <v>0</v>
      </c>
      <c r="K13">
        <v>0.01</v>
      </c>
      <c r="L13">
        <v>14.03</v>
      </c>
      <c r="M13">
        <v>24.61</v>
      </c>
      <c r="N13">
        <v>34.17</v>
      </c>
      <c r="P13">
        <f t="shared" si="0"/>
        <v>239.57999999999998</v>
      </c>
    </row>
    <row r="14" spans="2:16" x14ac:dyDescent="0.3">
      <c r="B14">
        <v>1998</v>
      </c>
      <c r="C14">
        <v>24.05</v>
      </c>
      <c r="D14">
        <v>129.62</v>
      </c>
      <c r="E14">
        <v>34.130000000000003</v>
      </c>
      <c r="F14">
        <v>93.09</v>
      </c>
      <c r="G14">
        <v>32.18</v>
      </c>
      <c r="H14">
        <v>2</v>
      </c>
      <c r="I14">
        <v>7.11</v>
      </c>
      <c r="J14">
        <v>5.3</v>
      </c>
      <c r="K14">
        <v>0.2</v>
      </c>
      <c r="L14">
        <v>7.4</v>
      </c>
      <c r="M14">
        <v>2.21</v>
      </c>
      <c r="N14">
        <v>2.83</v>
      </c>
      <c r="O14">
        <v>0</v>
      </c>
      <c r="P14">
        <f t="shared" si="0"/>
        <v>340.11999999999995</v>
      </c>
    </row>
    <row r="15" spans="2:16" x14ac:dyDescent="0.3">
      <c r="B15">
        <v>1999</v>
      </c>
      <c r="C15">
        <v>57.02</v>
      </c>
      <c r="D15">
        <v>25.63</v>
      </c>
      <c r="E15">
        <v>99.18</v>
      </c>
      <c r="F15">
        <v>18.579999999999998</v>
      </c>
      <c r="G15">
        <v>9.02</v>
      </c>
      <c r="H15">
        <v>0.6</v>
      </c>
      <c r="I15">
        <v>3.42</v>
      </c>
      <c r="J15">
        <v>5</v>
      </c>
      <c r="K15">
        <v>0.3</v>
      </c>
      <c r="L15">
        <v>3.21</v>
      </c>
      <c r="M15">
        <v>12.86</v>
      </c>
      <c r="N15">
        <v>3.8</v>
      </c>
      <c r="P15">
        <f t="shared" si="0"/>
        <v>238.62000000000006</v>
      </c>
    </row>
    <row r="16" spans="2:16" x14ac:dyDescent="0.3">
      <c r="B16">
        <v>2000</v>
      </c>
      <c r="C16">
        <v>17.510000000000002</v>
      </c>
      <c r="D16">
        <v>28.9</v>
      </c>
      <c r="E16">
        <v>31.72</v>
      </c>
      <c r="F16">
        <v>3.94</v>
      </c>
      <c r="G16">
        <v>0</v>
      </c>
      <c r="H16">
        <v>3.5</v>
      </c>
      <c r="I16">
        <v>0</v>
      </c>
      <c r="J16">
        <v>0</v>
      </c>
      <c r="K16">
        <v>2.4</v>
      </c>
      <c r="L16">
        <v>10.11</v>
      </c>
      <c r="M16">
        <v>32.83</v>
      </c>
      <c r="N16">
        <v>38.130000000000003</v>
      </c>
      <c r="P16">
        <f t="shared" si="0"/>
        <v>169.04</v>
      </c>
    </row>
    <row r="17" spans="2:16" x14ac:dyDescent="0.3">
      <c r="B17">
        <v>2001</v>
      </c>
      <c r="C17">
        <v>13.31</v>
      </c>
      <c r="D17">
        <v>38.4</v>
      </c>
      <c r="E17">
        <v>3.41</v>
      </c>
      <c r="F17">
        <v>3.82</v>
      </c>
      <c r="G17">
        <v>7.01</v>
      </c>
      <c r="H17">
        <v>0</v>
      </c>
      <c r="I17">
        <v>0.01</v>
      </c>
      <c r="J17">
        <v>0.1</v>
      </c>
      <c r="K17">
        <v>0</v>
      </c>
      <c r="L17">
        <v>0.42</v>
      </c>
      <c r="M17">
        <v>22.92</v>
      </c>
      <c r="N17">
        <v>46.94</v>
      </c>
      <c r="P17">
        <f t="shared" si="0"/>
        <v>136.34</v>
      </c>
    </row>
    <row r="18" spans="2:16" x14ac:dyDescent="0.3">
      <c r="B18">
        <v>2002</v>
      </c>
      <c r="C18">
        <v>13</v>
      </c>
      <c r="D18">
        <v>33.299999999999997</v>
      </c>
      <c r="E18">
        <v>13.01</v>
      </c>
      <c r="F18">
        <v>31.97</v>
      </c>
      <c r="G18">
        <v>49.53</v>
      </c>
      <c r="H18">
        <v>3.02</v>
      </c>
      <c r="I18">
        <v>14</v>
      </c>
      <c r="J18">
        <v>0</v>
      </c>
      <c r="K18">
        <v>0</v>
      </c>
      <c r="L18">
        <v>1.03</v>
      </c>
      <c r="M18">
        <v>22.43</v>
      </c>
      <c r="N18">
        <v>20.36</v>
      </c>
      <c r="P18">
        <f t="shared" si="0"/>
        <v>201.65000000000003</v>
      </c>
    </row>
    <row r="19" spans="2:16" x14ac:dyDescent="0.3">
      <c r="B19">
        <v>2003</v>
      </c>
      <c r="C19">
        <v>11.63</v>
      </c>
      <c r="D19">
        <v>21.7</v>
      </c>
      <c r="E19">
        <v>40.31</v>
      </c>
      <c r="F19">
        <v>59.54</v>
      </c>
      <c r="G19">
        <v>42.13</v>
      </c>
      <c r="H19">
        <v>0.54</v>
      </c>
      <c r="I19">
        <v>0</v>
      </c>
      <c r="J19">
        <v>0.01</v>
      </c>
      <c r="K19">
        <v>0</v>
      </c>
      <c r="L19">
        <v>1.43</v>
      </c>
      <c r="M19">
        <v>45.81</v>
      </c>
      <c r="N19">
        <v>17.010000000000002</v>
      </c>
      <c r="P19">
        <f t="shared" si="0"/>
        <v>240.10999999999999</v>
      </c>
    </row>
    <row r="20" spans="2:16" x14ac:dyDescent="0.3">
      <c r="B20">
        <v>2004</v>
      </c>
      <c r="C20">
        <v>54.34</v>
      </c>
      <c r="D20">
        <v>10.64</v>
      </c>
      <c r="E20">
        <v>56.63</v>
      </c>
      <c r="F20">
        <v>56.54</v>
      </c>
      <c r="G20">
        <v>23.74</v>
      </c>
      <c r="H20">
        <v>0</v>
      </c>
      <c r="I20">
        <v>5.0199999999999996</v>
      </c>
      <c r="J20">
        <v>0.01</v>
      </c>
      <c r="K20">
        <v>0.4</v>
      </c>
      <c r="L20">
        <v>6.93</v>
      </c>
      <c r="M20">
        <v>16.72</v>
      </c>
      <c r="N20">
        <v>56.06</v>
      </c>
      <c r="P20">
        <f t="shared" si="0"/>
        <v>287.03000000000003</v>
      </c>
    </row>
    <row r="21" spans="2:16" x14ac:dyDescent="0.3">
      <c r="B21">
        <v>2005</v>
      </c>
      <c r="C21">
        <v>20.81</v>
      </c>
      <c r="D21">
        <v>22.15</v>
      </c>
      <c r="E21">
        <v>96.53</v>
      </c>
      <c r="F21">
        <v>8.68</v>
      </c>
      <c r="G21">
        <v>43.14</v>
      </c>
      <c r="H21">
        <v>8.0299999999999994</v>
      </c>
      <c r="I21">
        <v>0.2</v>
      </c>
      <c r="J21">
        <v>5.3</v>
      </c>
      <c r="K21">
        <v>0</v>
      </c>
      <c r="L21">
        <v>0.02</v>
      </c>
      <c r="M21">
        <v>27.75</v>
      </c>
      <c r="N21">
        <v>1.91</v>
      </c>
      <c r="P21">
        <f t="shared" si="0"/>
        <v>234.52</v>
      </c>
    </row>
    <row r="22" spans="2:16" x14ac:dyDescent="0.3">
      <c r="B22">
        <v>2006</v>
      </c>
      <c r="C22">
        <v>49.18</v>
      </c>
      <c r="D22">
        <v>11.66</v>
      </c>
      <c r="E22">
        <v>34.53</v>
      </c>
      <c r="F22">
        <v>38.22</v>
      </c>
      <c r="G22">
        <v>7.02</v>
      </c>
      <c r="H22">
        <v>0</v>
      </c>
      <c r="I22">
        <v>5.01</v>
      </c>
      <c r="J22">
        <v>0</v>
      </c>
      <c r="K22">
        <v>0.01</v>
      </c>
      <c r="L22">
        <v>1.84</v>
      </c>
      <c r="M22">
        <v>19.48</v>
      </c>
      <c r="N22">
        <v>43.95</v>
      </c>
      <c r="P22">
        <f t="shared" si="0"/>
        <v>210.89999999999998</v>
      </c>
    </row>
    <row r="23" spans="2:16" x14ac:dyDescent="0.3">
      <c r="B23">
        <v>2007</v>
      </c>
      <c r="C23">
        <v>15.35</v>
      </c>
      <c r="D23">
        <v>43.91</v>
      </c>
      <c r="E23">
        <v>114.05</v>
      </c>
      <c r="F23">
        <v>12.14</v>
      </c>
      <c r="G23">
        <v>24.14</v>
      </c>
      <c r="H23">
        <v>8.14</v>
      </c>
      <c r="I23">
        <v>0.01</v>
      </c>
      <c r="J23">
        <v>0</v>
      </c>
      <c r="K23">
        <v>6</v>
      </c>
      <c r="L23">
        <v>0.01</v>
      </c>
      <c r="M23">
        <v>18.28</v>
      </c>
      <c r="N23">
        <v>26.82</v>
      </c>
      <c r="P23">
        <f t="shared" si="0"/>
        <v>268.84999999999997</v>
      </c>
    </row>
    <row r="24" spans="2:16" x14ac:dyDescent="0.3">
      <c r="B24">
        <v>2008</v>
      </c>
      <c r="C24">
        <v>25.04</v>
      </c>
      <c r="D24">
        <v>23.64</v>
      </c>
      <c r="E24">
        <v>4.01</v>
      </c>
      <c r="F24">
        <v>22.43</v>
      </c>
      <c r="G24">
        <v>21.83</v>
      </c>
      <c r="H24">
        <v>0.3</v>
      </c>
      <c r="I24">
        <v>0.01</v>
      </c>
      <c r="J24">
        <v>0</v>
      </c>
      <c r="K24">
        <v>0.01</v>
      </c>
      <c r="L24">
        <v>0.72</v>
      </c>
      <c r="M24">
        <v>10.24</v>
      </c>
      <c r="N24">
        <v>13.37</v>
      </c>
      <c r="P24">
        <f t="shared" si="0"/>
        <v>121.60000000000001</v>
      </c>
    </row>
    <row r="25" spans="2:16" x14ac:dyDescent="0.3">
      <c r="B25">
        <v>2009</v>
      </c>
      <c r="C25">
        <v>33.56</v>
      </c>
      <c r="D25">
        <v>29.34</v>
      </c>
      <c r="E25">
        <v>73.12</v>
      </c>
      <c r="F25">
        <v>80.02</v>
      </c>
      <c r="G25">
        <v>24.56</v>
      </c>
      <c r="H25">
        <v>0.12</v>
      </c>
      <c r="I25">
        <v>4.01</v>
      </c>
      <c r="J25">
        <v>0.13</v>
      </c>
      <c r="K25">
        <v>21.1</v>
      </c>
      <c r="L25">
        <v>0.01</v>
      </c>
      <c r="M25">
        <v>12.35</v>
      </c>
      <c r="N25">
        <v>14.45</v>
      </c>
      <c r="P25">
        <f t="shared" si="0"/>
        <v>292.77000000000004</v>
      </c>
    </row>
    <row r="26" spans="2:16" x14ac:dyDescent="0.3">
      <c r="B26">
        <v>2010</v>
      </c>
      <c r="C26">
        <v>16.350000000000001</v>
      </c>
      <c r="D26">
        <v>24.31</v>
      </c>
      <c r="E26">
        <v>47.48</v>
      </c>
      <c r="F26">
        <v>22.2</v>
      </c>
      <c r="G26">
        <v>37.770000000000003</v>
      </c>
      <c r="H26">
        <v>4</v>
      </c>
      <c r="I26">
        <v>0.01</v>
      </c>
      <c r="J26">
        <v>0</v>
      </c>
      <c r="K26">
        <v>2.52</v>
      </c>
      <c r="L26">
        <v>0.11</v>
      </c>
      <c r="M26">
        <v>8.73</v>
      </c>
      <c r="N26">
        <v>0.02</v>
      </c>
      <c r="P26">
        <f t="shared" si="0"/>
        <v>163.5</v>
      </c>
    </row>
    <row r="27" spans="2:16" x14ac:dyDescent="0.3">
      <c r="B27">
        <v>2011</v>
      </c>
      <c r="C27">
        <v>13.45</v>
      </c>
      <c r="D27">
        <v>56.83</v>
      </c>
      <c r="E27">
        <v>17.510000000000002</v>
      </c>
      <c r="F27">
        <v>7.15</v>
      </c>
      <c r="G27">
        <v>14.95</v>
      </c>
      <c r="H27">
        <v>6.92</v>
      </c>
      <c r="I27">
        <v>0</v>
      </c>
      <c r="J27">
        <v>0.01</v>
      </c>
      <c r="K27">
        <v>2.0099999999999998</v>
      </c>
      <c r="L27">
        <v>28.66</v>
      </c>
      <c r="M27">
        <v>56.09</v>
      </c>
      <c r="N27">
        <v>1.53</v>
      </c>
      <c r="P27">
        <f t="shared" si="0"/>
        <v>205.11000000000004</v>
      </c>
    </row>
    <row r="28" spans="2:16" x14ac:dyDescent="0.3">
      <c r="B28">
        <v>2012</v>
      </c>
      <c r="C28">
        <v>49.76</v>
      </c>
      <c r="D28">
        <v>36.06</v>
      </c>
      <c r="E28">
        <v>54.65</v>
      </c>
      <c r="F28">
        <v>44.17</v>
      </c>
      <c r="G28">
        <v>18.579999999999998</v>
      </c>
      <c r="H28">
        <v>9.9</v>
      </c>
      <c r="I28">
        <v>0</v>
      </c>
      <c r="J28">
        <v>0</v>
      </c>
      <c r="K28">
        <v>0.01</v>
      </c>
      <c r="L28">
        <v>16.649999999999999</v>
      </c>
      <c r="M28">
        <v>15.64</v>
      </c>
      <c r="N28">
        <v>73</v>
      </c>
      <c r="P28">
        <f t="shared" si="0"/>
        <v>318.41999999999996</v>
      </c>
    </row>
    <row r="29" spans="2:16" x14ac:dyDescent="0.3">
      <c r="B29">
        <v>2013</v>
      </c>
      <c r="C29">
        <v>6.53</v>
      </c>
      <c r="D29">
        <v>34.04</v>
      </c>
      <c r="E29">
        <v>58.3</v>
      </c>
      <c r="F29">
        <v>28.15</v>
      </c>
      <c r="G29">
        <v>26.64</v>
      </c>
      <c r="H29">
        <v>0.44</v>
      </c>
      <c r="I29">
        <v>0</v>
      </c>
      <c r="J29">
        <v>2.8</v>
      </c>
      <c r="K29">
        <v>0</v>
      </c>
      <c r="L29">
        <v>26.41</v>
      </c>
      <c r="M29">
        <v>3.23</v>
      </c>
      <c r="N29">
        <v>7.2</v>
      </c>
      <c r="P29">
        <f t="shared" si="0"/>
        <v>193.74</v>
      </c>
    </row>
    <row r="30" spans="2:16" x14ac:dyDescent="0.3">
      <c r="B30">
        <v>2014</v>
      </c>
      <c r="C30">
        <v>4.95</v>
      </c>
      <c r="D30">
        <v>2.87</v>
      </c>
      <c r="E30">
        <v>81.010000000000005</v>
      </c>
      <c r="F30">
        <v>35.07</v>
      </c>
      <c r="G30">
        <v>26.44</v>
      </c>
      <c r="H30">
        <v>4.3099999999999996</v>
      </c>
      <c r="I30">
        <v>0</v>
      </c>
      <c r="J30">
        <v>0.01</v>
      </c>
      <c r="K30">
        <v>0</v>
      </c>
      <c r="L30">
        <v>16.920000000000002</v>
      </c>
      <c r="M30">
        <v>44.39</v>
      </c>
      <c r="N30">
        <v>10.52</v>
      </c>
      <c r="P30">
        <f t="shared" si="0"/>
        <v>226.48999999999998</v>
      </c>
    </row>
    <row r="31" spans="2:16" x14ac:dyDescent="0.3">
      <c r="B31">
        <v>2015</v>
      </c>
      <c r="C31">
        <v>21.6</v>
      </c>
      <c r="D31">
        <v>52.92</v>
      </c>
      <c r="E31">
        <v>42.22</v>
      </c>
      <c r="F31">
        <v>7.44</v>
      </c>
      <c r="G31">
        <v>25.26</v>
      </c>
      <c r="H31">
        <v>0</v>
      </c>
      <c r="I31">
        <v>0</v>
      </c>
      <c r="J31">
        <v>0.12</v>
      </c>
      <c r="K31">
        <v>0.02</v>
      </c>
      <c r="L31">
        <v>15.64</v>
      </c>
      <c r="M31">
        <v>16.350000000000001</v>
      </c>
      <c r="N31">
        <v>16.52</v>
      </c>
      <c r="P31">
        <f t="shared" si="0"/>
        <v>198.09000000000003</v>
      </c>
    </row>
    <row r="32" spans="2:16" x14ac:dyDescent="0.3">
      <c r="B32">
        <v>2016</v>
      </c>
      <c r="C32">
        <v>18.09</v>
      </c>
      <c r="D32">
        <v>16.32</v>
      </c>
      <c r="E32">
        <v>52.95</v>
      </c>
      <c r="F32">
        <v>87.79</v>
      </c>
      <c r="G32">
        <v>44.56</v>
      </c>
      <c r="H32">
        <v>4.63</v>
      </c>
      <c r="I32">
        <v>5.51</v>
      </c>
      <c r="J32">
        <v>0.01</v>
      </c>
      <c r="K32">
        <v>3.62</v>
      </c>
      <c r="L32">
        <v>0.01</v>
      </c>
      <c r="M32">
        <v>1.59</v>
      </c>
      <c r="N32">
        <v>16.68</v>
      </c>
      <c r="P32">
        <f t="shared" si="0"/>
        <v>251.76</v>
      </c>
    </row>
    <row r="33" spans="2:16" x14ac:dyDescent="0.3">
      <c r="B33">
        <v>2017</v>
      </c>
      <c r="C33">
        <v>17.3</v>
      </c>
      <c r="D33">
        <v>110.19</v>
      </c>
      <c r="E33">
        <v>43.57</v>
      </c>
      <c r="F33">
        <v>43.58</v>
      </c>
      <c r="G33">
        <v>19.27</v>
      </c>
      <c r="H33">
        <v>1.8</v>
      </c>
      <c r="I33">
        <v>0.94</v>
      </c>
      <c r="J33">
        <v>4</v>
      </c>
      <c r="K33">
        <v>0.1</v>
      </c>
      <c r="L33">
        <v>0.02</v>
      </c>
      <c r="M33">
        <v>8.42</v>
      </c>
      <c r="N33">
        <v>0.45</v>
      </c>
      <c r="P33">
        <f t="shared" si="0"/>
        <v>249.64</v>
      </c>
    </row>
    <row r="34" spans="2:16" x14ac:dyDescent="0.3">
      <c r="B34">
        <v>2018</v>
      </c>
      <c r="C34">
        <v>1.47</v>
      </c>
      <c r="D34">
        <v>36.58</v>
      </c>
      <c r="E34">
        <v>44.7</v>
      </c>
      <c r="F34">
        <v>33.89</v>
      </c>
      <c r="G34">
        <v>57.82</v>
      </c>
      <c r="H34">
        <v>2.12</v>
      </c>
      <c r="I34">
        <v>0</v>
      </c>
      <c r="J34">
        <v>0</v>
      </c>
      <c r="K34">
        <v>0.11</v>
      </c>
      <c r="L34">
        <v>40.950000000000003</v>
      </c>
      <c r="M34">
        <v>19.95</v>
      </c>
      <c r="N34">
        <v>0.34</v>
      </c>
      <c r="P34">
        <f t="shared" si="0"/>
        <v>237.93000000000004</v>
      </c>
    </row>
    <row r="35" spans="2:16" x14ac:dyDescent="0.3">
      <c r="B35">
        <v>2019</v>
      </c>
      <c r="C35">
        <v>13.32</v>
      </c>
      <c r="D35">
        <v>52.17</v>
      </c>
      <c r="E35">
        <v>64.48</v>
      </c>
      <c r="F35">
        <v>82.66</v>
      </c>
      <c r="G35">
        <v>43.74</v>
      </c>
      <c r="H35">
        <v>23.02</v>
      </c>
      <c r="I35">
        <v>0</v>
      </c>
      <c r="J35">
        <v>0</v>
      </c>
      <c r="K35">
        <v>0.01</v>
      </c>
      <c r="L35">
        <v>10.119999999999999</v>
      </c>
      <c r="M35">
        <v>10.46</v>
      </c>
      <c r="N35">
        <v>7.95</v>
      </c>
      <c r="P35">
        <f t="shared" si="0"/>
        <v>307.92999999999995</v>
      </c>
    </row>
    <row r="36" spans="2:16" x14ac:dyDescent="0.3">
      <c r="B36">
        <v>2020</v>
      </c>
      <c r="C36">
        <v>44.68</v>
      </c>
      <c r="D36">
        <v>15.99</v>
      </c>
      <c r="E36">
        <v>98.13</v>
      </c>
      <c r="F36">
        <v>64.27</v>
      </c>
      <c r="G36">
        <v>32.04</v>
      </c>
      <c r="H36">
        <v>0.5</v>
      </c>
      <c r="I36">
        <v>4.33</v>
      </c>
      <c r="J36">
        <v>0.21</v>
      </c>
      <c r="K36">
        <v>0.11</v>
      </c>
      <c r="L36">
        <v>0.01</v>
      </c>
      <c r="M36">
        <v>15.58</v>
      </c>
      <c r="N36">
        <v>26.64</v>
      </c>
      <c r="P36">
        <f t="shared" si="0"/>
        <v>302.48999999999995</v>
      </c>
    </row>
    <row r="37" spans="2:16" x14ac:dyDescent="0.3">
      <c r="B37">
        <v>2021</v>
      </c>
      <c r="C37">
        <v>0.04</v>
      </c>
      <c r="D37">
        <v>0.75</v>
      </c>
      <c r="E37">
        <v>29.01</v>
      </c>
      <c r="F37">
        <v>4.43</v>
      </c>
      <c r="G37">
        <v>16.27</v>
      </c>
      <c r="H37">
        <v>0</v>
      </c>
      <c r="I37">
        <v>1.3</v>
      </c>
      <c r="J37">
        <v>0</v>
      </c>
      <c r="K37">
        <v>0</v>
      </c>
      <c r="L37">
        <v>0.04</v>
      </c>
      <c r="M37">
        <v>8.6300000000000008</v>
      </c>
      <c r="N37" s="1">
        <v>12.66</v>
      </c>
      <c r="P37">
        <f t="shared" si="0"/>
        <v>73.13</v>
      </c>
    </row>
    <row r="38" spans="2:16" x14ac:dyDescent="0.3">
      <c r="B38">
        <v>2022</v>
      </c>
      <c r="C38">
        <v>37.840000000000003</v>
      </c>
      <c r="D38">
        <v>28.19</v>
      </c>
      <c r="E38">
        <v>13.71</v>
      </c>
      <c r="F38">
        <v>39.119999999999997</v>
      </c>
      <c r="G38">
        <v>48.51</v>
      </c>
      <c r="H38">
        <v>26.93</v>
      </c>
      <c r="I38">
        <v>0.25</v>
      </c>
      <c r="J38">
        <v>0</v>
      </c>
      <c r="K38">
        <v>0</v>
      </c>
      <c r="L38">
        <v>0</v>
      </c>
      <c r="M38">
        <v>9.14</v>
      </c>
      <c r="N38" s="1">
        <v>11.94</v>
      </c>
      <c r="P38">
        <f t="shared" si="0"/>
        <v>215.63</v>
      </c>
    </row>
    <row r="39" spans="2:16" x14ac:dyDescent="0.3">
      <c r="B39">
        <v>2023</v>
      </c>
      <c r="C39">
        <v>5.33</v>
      </c>
      <c r="D39">
        <v>22.87</v>
      </c>
      <c r="E39">
        <v>19.059999999999999</v>
      </c>
      <c r="F39">
        <v>0</v>
      </c>
      <c r="G39">
        <v>17.78</v>
      </c>
      <c r="H39">
        <v>0</v>
      </c>
      <c r="I39">
        <v>0</v>
      </c>
      <c r="J39">
        <v>8.3800000000000008</v>
      </c>
      <c r="K39">
        <v>0</v>
      </c>
      <c r="L39">
        <v>14.22</v>
      </c>
      <c r="M39">
        <v>4.0599999999999996</v>
      </c>
      <c r="N39" s="1">
        <v>0</v>
      </c>
      <c r="P39">
        <f t="shared" si="0"/>
        <v>91.7</v>
      </c>
    </row>
    <row r="40" spans="2:16" x14ac:dyDescent="0.3">
      <c r="B40">
        <v>2024</v>
      </c>
      <c r="C40">
        <v>19.3</v>
      </c>
      <c r="D40">
        <v>41.64</v>
      </c>
      <c r="E40">
        <v>28.19</v>
      </c>
      <c r="F40">
        <v>41.15</v>
      </c>
      <c r="G40" s="1">
        <v>37.6</v>
      </c>
      <c r="H40">
        <v>18.54</v>
      </c>
      <c r="I40">
        <v>8.3800000000000008</v>
      </c>
      <c r="J40">
        <v>0</v>
      </c>
      <c r="K40">
        <v>0</v>
      </c>
      <c r="L40">
        <v>21.09</v>
      </c>
      <c r="M40">
        <v>9.14</v>
      </c>
      <c r="N40" s="1">
        <v>6.09</v>
      </c>
      <c r="P40">
        <f t="shared" si="0"/>
        <v>231.11999999999998</v>
      </c>
    </row>
    <row r="41" spans="2:16" x14ac:dyDescent="0.3">
      <c r="N4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P42"/>
  <sheetViews>
    <sheetView tabSelected="1" topLeftCell="B22" workbookViewId="0">
      <selection activeCell="C33" sqref="C33:N42"/>
    </sheetView>
  </sheetViews>
  <sheetFormatPr defaultRowHeight="14.4" x14ac:dyDescent="0.3"/>
  <sheetData>
    <row r="4" spans="2:16" x14ac:dyDescent="0.3">
      <c r="H4" t="s">
        <v>0</v>
      </c>
    </row>
    <row r="5" spans="2:16" x14ac:dyDescent="0.3"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</row>
    <row r="6" spans="2:16" x14ac:dyDescent="0.3">
      <c r="B6">
        <v>1988</v>
      </c>
      <c r="C6">
        <v>21.21</v>
      </c>
      <c r="D6">
        <v>67.400000000000006</v>
      </c>
      <c r="E6">
        <v>41.6</v>
      </c>
      <c r="F6">
        <v>53.6</v>
      </c>
      <c r="G6">
        <v>1.4</v>
      </c>
      <c r="H6">
        <v>1</v>
      </c>
      <c r="I6">
        <v>0.1</v>
      </c>
      <c r="J6">
        <v>3</v>
      </c>
      <c r="K6">
        <v>1.4</v>
      </c>
      <c r="L6">
        <v>4.5999999999999996</v>
      </c>
      <c r="M6">
        <v>8.41</v>
      </c>
      <c r="N6">
        <v>18.5</v>
      </c>
      <c r="P6">
        <f>SUM(C6:N6)</f>
        <v>222.22</v>
      </c>
    </row>
    <row r="7" spans="2:16" x14ac:dyDescent="0.3">
      <c r="B7">
        <v>1989</v>
      </c>
      <c r="C7">
        <v>56.02</v>
      </c>
      <c r="D7">
        <v>47.4</v>
      </c>
      <c r="E7">
        <v>68.099999999999994</v>
      </c>
      <c r="F7">
        <v>10.5</v>
      </c>
      <c r="G7">
        <v>10.8</v>
      </c>
      <c r="H7">
        <v>0</v>
      </c>
      <c r="I7">
        <v>0</v>
      </c>
      <c r="J7">
        <v>0</v>
      </c>
      <c r="K7">
        <v>0</v>
      </c>
      <c r="L7">
        <v>5.4</v>
      </c>
      <c r="M7">
        <v>51.6</v>
      </c>
      <c r="N7">
        <v>65.2</v>
      </c>
      <c r="P7">
        <f t="shared" ref="P7:P42" si="0">SUM(C7:N7)</f>
        <v>315.02</v>
      </c>
    </row>
    <row r="8" spans="2:16" x14ac:dyDescent="0.3">
      <c r="B8">
        <v>1990</v>
      </c>
      <c r="C8">
        <v>24.11</v>
      </c>
      <c r="D8">
        <v>28.53</v>
      </c>
      <c r="E8">
        <v>46.2</v>
      </c>
      <c r="F8">
        <v>43.2</v>
      </c>
      <c r="G8">
        <v>1.3</v>
      </c>
      <c r="H8">
        <v>0</v>
      </c>
      <c r="I8">
        <v>0.1</v>
      </c>
      <c r="J8">
        <v>0</v>
      </c>
      <c r="K8">
        <v>0</v>
      </c>
      <c r="L8">
        <v>27.81</v>
      </c>
      <c r="M8">
        <v>7</v>
      </c>
      <c r="N8">
        <v>19</v>
      </c>
      <c r="P8">
        <f t="shared" si="0"/>
        <v>197.25000000000003</v>
      </c>
    </row>
    <row r="9" spans="2:16" x14ac:dyDescent="0.3">
      <c r="B9">
        <v>1991</v>
      </c>
      <c r="C9">
        <v>26.3</v>
      </c>
      <c r="D9">
        <v>35.6</v>
      </c>
      <c r="E9">
        <v>85</v>
      </c>
      <c r="F9">
        <v>5.8</v>
      </c>
      <c r="G9">
        <v>2.2999999999999998</v>
      </c>
      <c r="H9">
        <v>2.4</v>
      </c>
      <c r="I9">
        <v>0</v>
      </c>
      <c r="J9">
        <v>0</v>
      </c>
      <c r="K9">
        <v>0</v>
      </c>
      <c r="L9">
        <v>14.2</v>
      </c>
      <c r="M9">
        <v>20.9</v>
      </c>
      <c r="N9">
        <v>57.1</v>
      </c>
      <c r="P9">
        <f t="shared" si="0"/>
        <v>249.60000000000002</v>
      </c>
    </row>
    <row r="10" spans="2:16" x14ac:dyDescent="0.3">
      <c r="B10">
        <v>1992</v>
      </c>
      <c r="C10">
        <v>37.92</v>
      </c>
      <c r="D10">
        <v>80.599999999999994</v>
      </c>
      <c r="E10">
        <v>95</v>
      </c>
      <c r="F10">
        <v>103.9</v>
      </c>
      <c r="G10">
        <v>74.900000000000006</v>
      </c>
      <c r="H10">
        <v>4.0999999999999996</v>
      </c>
      <c r="I10">
        <v>0.1</v>
      </c>
      <c r="J10">
        <v>5.2</v>
      </c>
      <c r="K10">
        <v>0</v>
      </c>
      <c r="L10">
        <v>0</v>
      </c>
      <c r="M10">
        <v>16</v>
      </c>
      <c r="N10">
        <v>34.299999999999997</v>
      </c>
      <c r="P10">
        <f t="shared" si="0"/>
        <v>452.02</v>
      </c>
    </row>
    <row r="11" spans="2:16" x14ac:dyDescent="0.3">
      <c r="B11">
        <v>1993</v>
      </c>
      <c r="C11">
        <v>56.1</v>
      </c>
      <c r="D11">
        <v>80.91</v>
      </c>
      <c r="E11">
        <v>75.5</v>
      </c>
      <c r="F11">
        <v>52.8</v>
      </c>
      <c r="G11">
        <v>29.4</v>
      </c>
      <c r="H11">
        <v>0</v>
      </c>
      <c r="I11">
        <v>0</v>
      </c>
      <c r="J11">
        <v>0</v>
      </c>
      <c r="K11">
        <v>0.2</v>
      </c>
      <c r="L11">
        <v>6.7</v>
      </c>
      <c r="M11">
        <v>84.4</v>
      </c>
      <c r="N11">
        <v>14.9</v>
      </c>
      <c r="P11">
        <f t="shared" si="0"/>
        <v>400.90999999999997</v>
      </c>
    </row>
    <row r="12" spans="2:16" x14ac:dyDescent="0.3">
      <c r="B12">
        <v>1994</v>
      </c>
      <c r="C12">
        <v>34.299999999999997</v>
      </c>
      <c r="D12">
        <v>42.61</v>
      </c>
      <c r="E12">
        <v>79.8</v>
      </c>
      <c r="F12">
        <v>20.6</v>
      </c>
      <c r="G12">
        <v>27.6</v>
      </c>
      <c r="H12">
        <v>0.2</v>
      </c>
      <c r="I12">
        <v>0</v>
      </c>
      <c r="J12">
        <v>0</v>
      </c>
      <c r="K12">
        <v>0</v>
      </c>
      <c r="L12">
        <v>42.81</v>
      </c>
      <c r="M12">
        <v>154.6</v>
      </c>
      <c r="N12">
        <v>27</v>
      </c>
      <c r="P12">
        <f t="shared" si="0"/>
        <v>429.52</v>
      </c>
    </row>
    <row r="13" spans="2:16" x14ac:dyDescent="0.3">
      <c r="B13">
        <v>1995</v>
      </c>
      <c r="C13">
        <v>1.6</v>
      </c>
      <c r="D13">
        <v>28.5</v>
      </c>
      <c r="E13">
        <v>18.2</v>
      </c>
      <c r="F13">
        <v>40.4</v>
      </c>
      <c r="G13">
        <v>93.6</v>
      </c>
      <c r="H13">
        <v>13.31</v>
      </c>
      <c r="I13">
        <v>0</v>
      </c>
      <c r="K13">
        <v>20.81</v>
      </c>
      <c r="L13">
        <v>0</v>
      </c>
      <c r="M13">
        <v>0.41</v>
      </c>
      <c r="N13">
        <v>17.100000000000001</v>
      </c>
      <c r="P13">
        <f t="shared" si="0"/>
        <v>233.92999999999998</v>
      </c>
    </row>
    <row r="14" spans="2:16" x14ac:dyDescent="0.3">
      <c r="B14">
        <v>1996</v>
      </c>
      <c r="C14">
        <v>44.5</v>
      </c>
      <c r="D14">
        <v>98.9</v>
      </c>
      <c r="E14">
        <v>124.5</v>
      </c>
      <c r="F14">
        <v>64.05</v>
      </c>
      <c r="G14">
        <v>52.82</v>
      </c>
      <c r="H14">
        <v>5</v>
      </c>
      <c r="I14">
        <v>1.6</v>
      </c>
      <c r="J14">
        <v>5.0999999999999996</v>
      </c>
      <c r="K14">
        <v>0</v>
      </c>
      <c r="L14">
        <v>6.1</v>
      </c>
      <c r="M14">
        <v>15.61</v>
      </c>
      <c r="N14">
        <v>17.510000000000002</v>
      </c>
      <c r="P14">
        <f t="shared" si="0"/>
        <v>435.69000000000005</v>
      </c>
    </row>
    <row r="15" spans="2:16" x14ac:dyDescent="0.3">
      <c r="B15">
        <v>1997</v>
      </c>
      <c r="C15">
        <v>17.899999999999999</v>
      </c>
      <c r="D15">
        <v>3.3</v>
      </c>
      <c r="E15">
        <v>70.2</v>
      </c>
      <c r="F15">
        <v>42.8</v>
      </c>
      <c r="G15">
        <v>41.82</v>
      </c>
      <c r="H15">
        <v>6.4</v>
      </c>
      <c r="I15">
        <v>0</v>
      </c>
      <c r="J15">
        <v>0</v>
      </c>
      <c r="K15">
        <v>0</v>
      </c>
      <c r="L15">
        <v>10.33</v>
      </c>
      <c r="M15">
        <v>19.11</v>
      </c>
      <c r="N15">
        <v>20.100000000000001</v>
      </c>
      <c r="P15">
        <f t="shared" si="0"/>
        <v>231.96</v>
      </c>
    </row>
    <row r="16" spans="2:16" x14ac:dyDescent="0.3">
      <c r="B16">
        <v>1998</v>
      </c>
      <c r="C16">
        <v>23.12</v>
      </c>
      <c r="D16">
        <v>34.229999999999997</v>
      </c>
      <c r="E16">
        <v>79.11</v>
      </c>
      <c r="F16">
        <v>29.8</v>
      </c>
      <c r="G16">
        <v>38.4</v>
      </c>
      <c r="H16">
        <v>0.11</v>
      </c>
      <c r="I16">
        <v>0.8</v>
      </c>
      <c r="J16">
        <v>25.5</v>
      </c>
      <c r="K16">
        <v>1.2</v>
      </c>
      <c r="L16">
        <v>36.9</v>
      </c>
      <c r="M16">
        <v>2.2999999999999998</v>
      </c>
      <c r="N16">
        <v>3</v>
      </c>
      <c r="P16">
        <f t="shared" si="0"/>
        <v>274.47000000000003</v>
      </c>
    </row>
    <row r="17" spans="2:16" x14ac:dyDescent="0.3">
      <c r="B17">
        <v>1999</v>
      </c>
      <c r="C17">
        <v>37.200000000000003</v>
      </c>
      <c r="D17">
        <v>20.7</v>
      </c>
      <c r="E17">
        <v>33.200000000000003</v>
      </c>
      <c r="F17">
        <v>18.53</v>
      </c>
      <c r="G17">
        <v>0.6</v>
      </c>
      <c r="H17">
        <v>0</v>
      </c>
      <c r="I17">
        <v>2.2000000000000002</v>
      </c>
      <c r="J17">
        <v>0.61</v>
      </c>
      <c r="K17">
        <v>0</v>
      </c>
      <c r="L17">
        <v>0.41</v>
      </c>
      <c r="M17">
        <v>61.91</v>
      </c>
      <c r="N17">
        <v>39.700000000000003</v>
      </c>
      <c r="P17">
        <f t="shared" si="0"/>
        <v>215.06</v>
      </c>
    </row>
    <row r="18" spans="2:16" x14ac:dyDescent="0.3">
      <c r="B18">
        <v>2000</v>
      </c>
      <c r="C18">
        <v>55.63</v>
      </c>
      <c r="D18">
        <v>20.3</v>
      </c>
      <c r="E18">
        <v>33.4</v>
      </c>
      <c r="F18">
        <v>12.4</v>
      </c>
      <c r="G18">
        <v>0</v>
      </c>
      <c r="H18">
        <v>0</v>
      </c>
      <c r="I18">
        <v>2.1</v>
      </c>
      <c r="J18">
        <v>0</v>
      </c>
      <c r="K18">
        <v>0.5</v>
      </c>
      <c r="L18">
        <v>29.11</v>
      </c>
      <c r="M18">
        <v>46.4</v>
      </c>
      <c r="N18">
        <v>143.9</v>
      </c>
      <c r="P18">
        <f t="shared" si="0"/>
        <v>343.74</v>
      </c>
    </row>
    <row r="19" spans="2:16" x14ac:dyDescent="0.3">
      <c r="B19">
        <v>2001</v>
      </c>
      <c r="C19">
        <v>38.9</v>
      </c>
      <c r="D19">
        <v>22.3</v>
      </c>
      <c r="E19">
        <v>28.4</v>
      </c>
      <c r="F19">
        <v>5.0999999999999996</v>
      </c>
      <c r="G19">
        <v>32.200000000000003</v>
      </c>
      <c r="H19">
        <v>12</v>
      </c>
      <c r="I19">
        <v>0.81</v>
      </c>
      <c r="J19">
        <v>0</v>
      </c>
      <c r="K19">
        <v>5.6</v>
      </c>
      <c r="L19">
        <v>6.2</v>
      </c>
      <c r="M19">
        <v>27.3</v>
      </c>
      <c r="N19">
        <v>93.1</v>
      </c>
      <c r="P19">
        <f t="shared" si="0"/>
        <v>271.90999999999997</v>
      </c>
    </row>
    <row r="20" spans="2:16" x14ac:dyDescent="0.3">
      <c r="B20">
        <v>2002</v>
      </c>
      <c r="C20">
        <v>47.9</v>
      </c>
      <c r="D20">
        <v>8.11</v>
      </c>
      <c r="E20">
        <v>48.7</v>
      </c>
      <c r="F20">
        <v>85.5</v>
      </c>
      <c r="G20">
        <v>7.5</v>
      </c>
      <c r="H20">
        <v>0</v>
      </c>
      <c r="I20">
        <v>1.1000000000000001</v>
      </c>
      <c r="J20">
        <v>0.1</v>
      </c>
      <c r="K20">
        <v>0</v>
      </c>
      <c r="L20">
        <v>3.6</v>
      </c>
      <c r="M20">
        <v>21.4</v>
      </c>
      <c r="N20">
        <v>22.6</v>
      </c>
      <c r="P20">
        <f t="shared" si="0"/>
        <v>246.51</v>
      </c>
    </row>
    <row r="21" spans="2:16" x14ac:dyDescent="0.3">
      <c r="B21">
        <v>2003</v>
      </c>
      <c r="C21">
        <v>33.01</v>
      </c>
      <c r="D21">
        <v>33.909999999999997</v>
      </c>
      <c r="E21">
        <v>62.6</v>
      </c>
      <c r="F21">
        <v>133.5</v>
      </c>
      <c r="G21">
        <v>10.6</v>
      </c>
      <c r="H21">
        <v>0</v>
      </c>
      <c r="I21">
        <v>0</v>
      </c>
      <c r="J21">
        <v>0</v>
      </c>
      <c r="K21">
        <v>0</v>
      </c>
      <c r="L21">
        <v>13.1</v>
      </c>
      <c r="M21">
        <v>12.8</v>
      </c>
      <c r="N21">
        <v>59.1</v>
      </c>
      <c r="P21">
        <f t="shared" si="0"/>
        <v>358.62000000000006</v>
      </c>
    </row>
    <row r="22" spans="2:16" x14ac:dyDescent="0.3">
      <c r="B22">
        <v>2004</v>
      </c>
      <c r="C22">
        <v>60.2</v>
      </c>
      <c r="D22">
        <v>25</v>
      </c>
      <c r="E22">
        <v>33.299999999999997</v>
      </c>
      <c r="F22">
        <v>116.3</v>
      </c>
      <c r="G22">
        <v>55.2</v>
      </c>
      <c r="H22">
        <v>4.3</v>
      </c>
      <c r="I22">
        <v>2.6</v>
      </c>
      <c r="J22">
        <v>0</v>
      </c>
      <c r="K22">
        <v>0</v>
      </c>
      <c r="L22">
        <v>8.11</v>
      </c>
      <c r="M22">
        <v>59.71</v>
      </c>
      <c r="N22">
        <v>41.61</v>
      </c>
      <c r="P22">
        <f t="shared" si="0"/>
        <v>406.33000000000004</v>
      </c>
    </row>
    <row r="23" spans="2:16" x14ac:dyDescent="0.3">
      <c r="B23">
        <v>2005</v>
      </c>
      <c r="C23">
        <v>72.400000000000006</v>
      </c>
      <c r="D23">
        <v>10.199999999999999</v>
      </c>
      <c r="E23">
        <v>87.1</v>
      </c>
      <c r="F23">
        <v>15.9</v>
      </c>
      <c r="G23">
        <v>20.100000000000001</v>
      </c>
      <c r="H23">
        <v>0</v>
      </c>
      <c r="I23">
        <v>0</v>
      </c>
      <c r="J23">
        <v>5.0999999999999996</v>
      </c>
      <c r="K23">
        <v>0</v>
      </c>
      <c r="L23">
        <v>0</v>
      </c>
      <c r="M23">
        <v>34.21</v>
      </c>
      <c r="N23">
        <v>47.3</v>
      </c>
      <c r="P23">
        <f t="shared" si="0"/>
        <v>292.31</v>
      </c>
    </row>
    <row r="24" spans="2:16" x14ac:dyDescent="0.3">
      <c r="B24">
        <v>2006</v>
      </c>
      <c r="C24">
        <v>61.41</v>
      </c>
      <c r="D24">
        <v>67.11</v>
      </c>
      <c r="E24">
        <v>32.700000000000003</v>
      </c>
      <c r="F24">
        <v>35</v>
      </c>
      <c r="G24">
        <v>5.9</v>
      </c>
      <c r="H24">
        <v>0</v>
      </c>
      <c r="I24">
        <v>0</v>
      </c>
      <c r="J24">
        <v>0</v>
      </c>
      <c r="K24">
        <v>0</v>
      </c>
      <c r="L24">
        <v>54.9</v>
      </c>
      <c r="M24">
        <v>11.1</v>
      </c>
      <c r="N24">
        <v>61.6</v>
      </c>
      <c r="P24">
        <f t="shared" si="0"/>
        <v>329.72</v>
      </c>
    </row>
    <row r="25" spans="2:16" x14ac:dyDescent="0.3">
      <c r="B25">
        <v>2007</v>
      </c>
      <c r="C25">
        <v>25.9</v>
      </c>
      <c r="D25">
        <v>25.8</v>
      </c>
      <c r="E25">
        <v>87.5</v>
      </c>
      <c r="F25">
        <v>72.5</v>
      </c>
      <c r="G25">
        <v>51.3</v>
      </c>
      <c r="H25">
        <v>32.200000000000003</v>
      </c>
      <c r="I25">
        <v>13.9</v>
      </c>
      <c r="J25">
        <v>0.1</v>
      </c>
      <c r="K25">
        <v>0</v>
      </c>
      <c r="L25">
        <v>1.1000000000000001</v>
      </c>
      <c r="M25">
        <v>32.200000000000003</v>
      </c>
      <c r="N25">
        <v>52.4</v>
      </c>
      <c r="P25">
        <f t="shared" si="0"/>
        <v>394.9</v>
      </c>
    </row>
    <row r="26" spans="2:16" x14ac:dyDescent="0.3">
      <c r="B26">
        <v>2008</v>
      </c>
      <c r="C26">
        <v>67.819999999999993</v>
      </c>
      <c r="D26">
        <v>4.21</v>
      </c>
      <c r="E26">
        <v>0.5</v>
      </c>
      <c r="F26">
        <v>17.899999999999999</v>
      </c>
      <c r="G26">
        <v>18.8</v>
      </c>
      <c r="H26">
        <v>0</v>
      </c>
      <c r="I26">
        <v>0.2</v>
      </c>
      <c r="J26">
        <v>0.1</v>
      </c>
      <c r="K26">
        <v>1.3</v>
      </c>
      <c r="L26">
        <v>31.5</v>
      </c>
      <c r="M26">
        <v>37.51</v>
      </c>
      <c r="N26">
        <v>11.22</v>
      </c>
      <c r="P26">
        <f t="shared" si="0"/>
        <v>191.05999999999997</v>
      </c>
    </row>
    <row r="27" spans="2:16" x14ac:dyDescent="0.3">
      <c r="B27">
        <v>2009</v>
      </c>
      <c r="C27">
        <v>31.41</v>
      </c>
      <c r="D27">
        <v>38.22</v>
      </c>
      <c r="E27">
        <v>49.9</v>
      </c>
      <c r="F27">
        <v>39.799999999999997</v>
      </c>
      <c r="G27">
        <v>15.3</v>
      </c>
      <c r="H27">
        <v>7.32</v>
      </c>
      <c r="I27">
        <v>0</v>
      </c>
      <c r="J27">
        <v>0</v>
      </c>
      <c r="K27">
        <v>19.899999999999999</v>
      </c>
      <c r="L27">
        <v>30.21</v>
      </c>
      <c r="M27">
        <v>64</v>
      </c>
      <c r="N27">
        <v>40.4</v>
      </c>
      <c r="P27">
        <f t="shared" si="0"/>
        <v>336.46</v>
      </c>
    </row>
    <row r="28" spans="2:16" x14ac:dyDescent="0.3">
      <c r="B28">
        <v>2010</v>
      </c>
      <c r="C28">
        <v>13.1</v>
      </c>
      <c r="D28">
        <v>42.31</v>
      </c>
      <c r="E28">
        <v>37.299999999999997</v>
      </c>
      <c r="F28">
        <v>51.7</v>
      </c>
      <c r="G28">
        <v>17.71</v>
      </c>
      <c r="H28">
        <v>0.3</v>
      </c>
      <c r="I28">
        <v>0</v>
      </c>
      <c r="J28">
        <v>6.2</v>
      </c>
      <c r="K28">
        <v>0</v>
      </c>
      <c r="L28">
        <v>0.4</v>
      </c>
      <c r="M28">
        <v>13.1</v>
      </c>
      <c r="N28">
        <v>11.5</v>
      </c>
      <c r="P28">
        <f t="shared" si="0"/>
        <v>193.62000000000003</v>
      </c>
    </row>
    <row r="29" spans="2:16" x14ac:dyDescent="0.3">
      <c r="B29">
        <v>2011</v>
      </c>
      <c r="C29">
        <v>45.11</v>
      </c>
      <c r="D29">
        <v>10.61</v>
      </c>
      <c r="E29">
        <v>89.71</v>
      </c>
      <c r="F29">
        <v>24.51</v>
      </c>
      <c r="G29">
        <v>15.1</v>
      </c>
      <c r="H29">
        <v>0.41</v>
      </c>
      <c r="I29">
        <v>1</v>
      </c>
      <c r="J29">
        <v>0</v>
      </c>
      <c r="K29">
        <v>0.01</v>
      </c>
      <c r="L29">
        <v>17.21</v>
      </c>
      <c r="M29">
        <v>82.31</v>
      </c>
      <c r="N29">
        <v>0.3</v>
      </c>
      <c r="P29">
        <f t="shared" si="0"/>
        <v>286.28000000000003</v>
      </c>
    </row>
    <row r="30" spans="2:16" x14ac:dyDescent="0.3">
      <c r="B30">
        <v>2012</v>
      </c>
      <c r="C30">
        <v>3.94</v>
      </c>
      <c r="D30">
        <v>30.81</v>
      </c>
      <c r="E30">
        <v>20.8</v>
      </c>
      <c r="F30">
        <v>101.8</v>
      </c>
      <c r="G30">
        <v>6.02</v>
      </c>
      <c r="H30">
        <v>0.5</v>
      </c>
      <c r="I30">
        <v>5.52</v>
      </c>
      <c r="J30">
        <v>0.6</v>
      </c>
      <c r="K30">
        <v>0</v>
      </c>
      <c r="L30">
        <v>23.93</v>
      </c>
      <c r="M30">
        <v>61.62</v>
      </c>
      <c r="N30">
        <v>37.22</v>
      </c>
      <c r="P30">
        <f t="shared" si="0"/>
        <v>292.76</v>
      </c>
    </row>
    <row r="31" spans="2:16" x14ac:dyDescent="0.3">
      <c r="B31">
        <v>2013</v>
      </c>
      <c r="C31">
        <v>8.8000000000000007</v>
      </c>
      <c r="D31">
        <v>18.21</v>
      </c>
      <c r="E31">
        <v>21.91</v>
      </c>
      <c r="F31">
        <v>33.25</v>
      </c>
      <c r="G31">
        <v>10.130000000000001</v>
      </c>
      <c r="H31">
        <v>0.51</v>
      </c>
      <c r="I31">
        <v>0</v>
      </c>
      <c r="J31">
        <v>0</v>
      </c>
      <c r="K31">
        <v>0</v>
      </c>
      <c r="L31">
        <v>1.8</v>
      </c>
      <c r="M31">
        <v>55.9</v>
      </c>
      <c r="N31">
        <v>47.52</v>
      </c>
      <c r="P31">
        <f t="shared" si="0"/>
        <v>198.03</v>
      </c>
    </row>
    <row r="32" spans="2:16" x14ac:dyDescent="0.3">
      <c r="B32">
        <v>2014</v>
      </c>
      <c r="C32">
        <v>41.96</v>
      </c>
      <c r="D32">
        <v>23.03</v>
      </c>
      <c r="E32">
        <v>85.63</v>
      </c>
      <c r="F32">
        <v>62.63</v>
      </c>
      <c r="G32">
        <v>20.52</v>
      </c>
      <c r="H32">
        <v>0</v>
      </c>
      <c r="I32">
        <v>1</v>
      </c>
      <c r="J32">
        <v>0.01</v>
      </c>
      <c r="K32">
        <v>0</v>
      </c>
      <c r="L32">
        <v>47.03</v>
      </c>
      <c r="M32">
        <v>24.52</v>
      </c>
      <c r="N32">
        <v>15.82</v>
      </c>
      <c r="P32">
        <f t="shared" si="0"/>
        <v>322.14999999999998</v>
      </c>
    </row>
    <row r="33" spans="2:16" x14ac:dyDescent="0.3">
      <c r="B33">
        <v>2015</v>
      </c>
      <c r="C33">
        <v>4.3499999999999996</v>
      </c>
      <c r="D33">
        <v>47</v>
      </c>
      <c r="E33">
        <v>50.45</v>
      </c>
      <c r="F33">
        <v>32.520000000000003</v>
      </c>
      <c r="G33">
        <v>11.62</v>
      </c>
      <c r="H33">
        <v>2.1</v>
      </c>
      <c r="I33">
        <v>6</v>
      </c>
      <c r="J33">
        <v>0.4</v>
      </c>
      <c r="K33">
        <v>3.71</v>
      </c>
      <c r="L33">
        <v>51.32</v>
      </c>
      <c r="M33">
        <v>49.11</v>
      </c>
      <c r="N33">
        <v>34.46</v>
      </c>
      <c r="P33">
        <f t="shared" si="0"/>
        <v>293.04000000000002</v>
      </c>
    </row>
    <row r="34" spans="2:16" x14ac:dyDescent="0.3">
      <c r="B34">
        <v>2016</v>
      </c>
      <c r="C34">
        <v>32.61</v>
      </c>
      <c r="D34">
        <v>9.0399999999999991</v>
      </c>
      <c r="E34">
        <v>22.14</v>
      </c>
      <c r="F34">
        <v>88.06</v>
      </c>
      <c r="G34">
        <v>8.84</v>
      </c>
      <c r="H34">
        <v>0.01</v>
      </c>
      <c r="I34">
        <v>0.01</v>
      </c>
      <c r="J34">
        <v>0</v>
      </c>
      <c r="K34">
        <v>0</v>
      </c>
      <c r="L34">
        <v>4.2</v>
      </c>
      <c r="M34">
        <v>15.93</v>
      </c>
      <c r="N34">
        <v>108.13</v>
      </c>
      <c r="P34">
        <f t="shared" si="0"/>
        <v>288.96999999999997</v>
      </c>
    </row>
    <row r="35" spans="2:16" x14ac:dyDescent="0.3">
      <c r="B35">
        <v>2017</v>
      </c>
      <c r="C35">
        <v>26.41</v>
      </c>
      <c r="D35">
        <v>65.430000000000007</v>
      </c>
      <c r="E35">
        <v>48.64</v>
      </c>
      <c r="F35">
        <v>38.65</v>
      </c>
      <c r="G35">
        <v>51.93</v>
      </c>
      <c r="H35">
        <v>0</v>
      </c>
      <c r="I35">
        <v>0.2</v>
      </c>
      <c r="J35">
        <v>0.01</v>
      </c>
      <c r="K35">
        <v>0</v>
      </c>
      <c r="L35">
        <v>0</v>
      </c>
      <c r="M35">
        <v>3.61</v>
      </c>
      <c r="N35">
        <v>4</v>
      </c>
      <c r="P35">
        <f t="shared" si="0"/>
        <v>238.88000000000002</v>
      </c>
    </row>
    <row r="36" spans="2:16" x14ac:dyDescent="0.3">
      <c r="B36">
        <v>2018</v>
      </c>
      <c r="C36">
        <v>17.88</v>
      </c>
      <c r="D36">
        <v>31.56</v>
      </c>
      <c r="E36">
        <v>10.119999999999999</v>
      </c>
      <c r="F36">
        <v>88.74</v>
      </c>
      <c r="G36">
        <v>74.78</v>
      </c>
      <c r="H36">
        <v>16.809999999999999</v>
      </c>
      <c r="I36">
        <v>0</v>
      </c>
      <c r="J36">
        <v>0</v>
      </c>
      <c r="K36">
        <v>0.32</v>
      </c>
      <c r="L36">
        <v>29.53</v>
      </c>
      <c r="M36">
        <v>95.33</v>
      </c>
      <c r="N36">
        <v>31.93</v>
      </c>
      <c r="P36">
        <f t="shared" si="0"/>
        <v>397</v>
      </c>
    </row>
    <row r="37" spans="2:16" x14ac:dyDescent="0.3">
      <c r="B37">
        <v>2019</v>
      </c>
      <c r="C37">
        <v>82.27</v>
      </c>
      <c r="D37">
        <v>21.5</v>
      </c>
      <c r="E37">
        <v>166.36</v>
      </c>
      <c r="F37">
        <v>108.64</v>
      </c>
      <c r="G37">
        <v>7.06</v>
      </c>
      <c r="H37">
        <v>0.11</v>
      </c>
      <c r="I37">
        <v>0</v>
      </c>
      <c r="J37">
        <v>0.01</v>
      </c>
      <c r="K37">
        <v>0</v>
      </c>
      <c r="L37">
        <v>52.94</v>
      </c>
      <c r="M37">
        <v>15.42</v>
      </c>
      <c r="N37">
        <v>50.54</v>
      </c>
      <c r="P37">
        <f t="shared" si="0"/>
        <v>504.85</v>
      </c>
    </row>
    <row r="38" spans="2:16" x14ac:dyDescent="0.3">
      <c r="B38">
        <v>2020</v>
      </c>
      <c r="C38">
        <v>29.05</v>
      </c>
      <c r="D38">
        <v>84.75</v>
      </c>
      <c r="E38">
        <v>41.44</v>
      </c>
      <c r="F38">
        <v>114.48</v>
      </c>
      <c r="G38">
        <v>6.5</v>
      </c>
      <c r="H38">
        <v>0</v>
      </c>
      <c r="I38">
        <v>2.3199999999999998</v>
      </c>
      <c r="J38">
        <v>0</v>
      </c>
      <c r="K38">
        <v>0.01</v>
      </c>
      <c r="L38">
        <v>0.6</v>
      </c>
      <c r="M38">
        <v>35.520000000000003</v>
      </c>
      <c r="N38">
        <v>60.51</v>
      </c>
      <c r="P38">
        <f t="shared" si="0"/>
        <v>375.18</v>
      </c>
    </row>
    <row r="39" spans="2:16" x14ac:dyDescent="0.3">
      <c r="B39">
        <v>2021</v>
      </c>
      <c r="C39">
        <v>10.1</v>
      </c>
      <c r="D39">
        <v>40.700000000000003</v>
      </c>
      <c r="E39">
        <v>21.35</v>
      </c>
      <c r="F39">
        <v>0.87</v>
      </c>
      <c r="G39">
        <v>20.329999999999998</v>
      </c>
      <c r="H39">
        <v>0.01</v>
      </c>
      <c r="I39">
        <v>2</v>
      </c>
      <c r="J39">
        <v>0.13</v>
      </c>
      <c r="K39">
        <v>0</v>
      </c>
      <c r="L39">
        <v>5.1100000000000003</v>
      </c>
      <c r="M39">
        <v>58.14</v>
      </c>
      <c r="N39">
        <v>35.619999999999997</v>
      </c>
      <c r="P39">
        <f t="shared" si="0"/>
        <v>194.36</v>
      </c>
    </row>
    <row r="40" spans="2:16" x14ac:dyDescent="0.3">
      <c r="B40">
        <v>2022</v>
      </c>
      <c r="C40">
        <v>47.76</v>
      </c>
      <c r="D40">
        <v>36.58</v>
      </c>
      <c r="E40">
        <v>36.07</v>
      </c>
      <c r="F40">
        <v>5.59</v>
      </c>
      <c r="G40">
        <v>1.02</v>
      </c>
      <c r="H40">
        <v>0</v>
      </c>
      <c r="I40">
        <v>1.02</v>
      </c>
      <c r="J40">
        <v>0.25</v>
      </c>
      <c r="K40">
        <v>0</v>
      </c>
      <c r="L40">
        <v>0</v>
      </c>
      <c r="M40">
        <v>29.46</v>
      </c>
      <c r="N40">
        <v>35.299999999999997</v>
      </c>
      <c r="P40">
        <f t="shared" si="0"/>
        <v>193.05</v>
      </c>
    </row>
    <row r="41" spans="2:16" x14ac:dyDescent="0.3">
      <c r="B41">
        <v>2023</v>
      </c>
      <c r="C41">
        <v>42.15</v>
      </c>
      <c r="D41">
        <v>48</v>
      </c>
      <c r="E41">
        <v>16.75</v>
      </c>
      <c r="F41">
        <v>13.47</v>
      </c>
      <c r="G41">
        <v>14.73</v>
      </c>
      <c r="H41">
        <v>7.37</v>
      </c>
      <c r="I41">
        <v>0</v>
      </c>
      <c r="J41">
        <v>1.27</v>
      </c>
      <c r="K41">
        <v>0</v>
      </c>
      <c r="L41">
        <v>2.0299999999999998</v>
      </c>
      <c r="M41">
        <v>17.53</v>
      </c>
      <c r="N41">
        <v>4.82</v>
      </c>
      <c r="P41">
        <f t="shared" si="0"/>
        <v>168.12</v>
      </c>
    </row>
    <row r="42" spans="2:16" x14ac:dyDescent="0.3">
      <c r="B42">
        <v>2024</v>
      </c>
      <c r="C42">
        <v>18.03</v>
      </c>
      <c r="D42">
        <v>67.06</v>
      </c>
      <c r="E42">
        <v>76.2</v>
      </c>
      <c r="F42">
        <v>32.51</v>
      </c>
      <c r="G42">
        <v>58.42</v>
      </c>
      <c r="H42">
        <v>3.3</v>
      </c>
      <c r="I42">
        <v>0</v>
      </c>
      <c r="J42">
        <v>0</v>
      </c>
      <c r="K42">
        <v>0</v>
      </c>
      <c r="L42">
        <v>0</v>
      </c>
      <c r="M42">
        <v>8.3800000000000008</v>
      </c>
      <c r="N42">
        <v>22.09</v>
      </c>
      <c r="P42">
        <f t="shared" si="0"/>
        <v>285.99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R79"/>
  <sheetViews>
    <sheetView topLeftCell="C62" workbookViewId="0">
      <selection activeCell="D70" sqref="D70:O79"/>
    </sheetView>
  </sheetViews>
  <sheetFormatPr defaultRowHeight="14.4" x14ac:dyDescent="0.3"/>
  <sheetData>
    <row r="4" spans="3:18" x14ac:dyDescent="0.3"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26</v>
      </c>
    </row>
    <row r="6" spans="3:18" x14ac:dyDescent="0.3">
      <c r="C6">
        <v>1951</v>
      </c>
      <c r="D6">
        <v>205.1</v>
      </c>
      <c r="E6">
        <v>218.5</v>
      </c>
      <c r="F6">
        <v>49</v>
      </c>
      <c r="G6">
        <v>19.5</v>
      </c>
      <c r="H6">
        <v>32.5</v>
      </c>
      <c r="I6">
        <v>89</v>
      </c>
      <c r="J6">
        <v>8</v>
      </c>
      <c r="K6">
        <v>44.5</v>
      </c>
      <c r="L6">
        <v>628</v>
      </c>
      <c r="M6">
        <v>446</v>
      </c>
      <c r="N6">
        <v>228</v>
      </c>
      <c r="O6">
        <v>146</v>
      </c>
      <c r="R6">
        <f>SUM(D6:O6)</f>
        <v>2114.1</v>
      </c>
    </row>
    <row r="7" spans="3:18" x14ac:dyDescent="0.3">
      <c r="C7">
        <v>1952</v>
      </c>
      <c r="D7">
        <v>109.5</v>
      </c>
      <c r="E7">
        <v>76.599999999999994</v>
      </c>
      <c r="F7">
        <v>201</v>
      </c>
      <c r="G7">
        <v>190.5</v>
      </c>
      <c r="H7">
        <v>55.7</v>
      </c>
      <c r="I7">
        <v>187.5</v>
      </c>
      <c r="J7">
        <v>56</v>
      </c>
      <c r="K7">
        <v>68</v>
      </c>
      <c r="L7">
        <v>162</v>
      </c>
      <c r="M7">
        <v>107</v>
      </c>
      <c r="N7">
        <v>569.5</v>
      </c>
      <c r="O7">
        <v>104.6</v>
      </c>
      <c r="R7">
        <f t="shared" ref="R7:R70" si="0">SUM(D7:O7)</f>
        <v>1887.9</v>
      </c>
    </row>
    <row r="8" spans="3:18" x14ac:dyDescent="0.3">
      <c r="C8">
        <v>1953</v>
      </c>
      <c r="D8">
        <v>57.5</v>
      </c>
      <c r="E8">
        <v>50.5</v>
      </c>
      <c r="F8">
        <v>298.10000000000002</v>
      </c>
      <c r="G8">
        <v>31.1</v>
      </c>
      <c r="H8">
        <v>32</v>
      </c>
      <c r="I8">
        <v>0</v>
      </c>
      <c r="J8">
        <v>100</v>
      </c>
      <c r="K8">
        <v>23</v>
      </c>
      <c r="L8">
        <v>432.5</v>
      </c>
      <c r="M8">
        <v>345</v>
      </c>
      <c r="N8">
        <v>542.1</v>
      </c>
      <c r="O8">
        <v>309</v>
      </c>
      <c r="R8">
        <f t="shared" si="0"/>
        <v>2220.8000000000002</v>
      </c>
    </row>
    <row r="9" spans="3:18" x14ac:dyDescent="0.3">
      <c r="C9">
        <v>1954</v>
      </c>
      <c r="D9">
        <v>69</v>
      </c>
      <c r="E9">
        <v>179.1</v>
      </c>
      <c r="F9">
        <v>95.1</v>
      </c>
      <c r="G9">
        <v>137.80000000000001</v>
      </c>
      <c r="H9">
        <v>69</v>
      </c>
      <c r="I9">
        <v>9</v>
      </c>
      <c r="J9">
        <v>27.6</v>
      </c>
      <c r="K9">
        <v>191</v>
      </c>
      <c r="L9">
        <v>195.6</v>
      </c>
      <c r="M9">
        <v>84.5</v>
      </c>
      <c r="N9" t="s">
        <v>27</v>
      </c>
      <c r="O9" t="s">
        <v>27</v>
      </c>
      <c r="R9">
        <f t="shared" si="0"/>
        <v>1057.7</v>
      </c>
    </row>
    <row r="10" spans="3:18" x14ac:dyDescent="0.3">
      <c r="C10">
        <v>1955</v>
      </c>
      <c r="D10">
        <v>106.4</v>
      </c>
      <c r="E10">
        <v>18.399999999999999</v>
      </c>
      <c r="F10">
        <v>133.69999999999999</v>
      </c>
      <c r="G10">
        <v>31</v>
      </c>
      <c r="H10">
        <v>54</v>
      </c>
      <c r="I10">
        <v>73.2</v>
      </c>
      <c r="J10">
        <v>1.2</v>
      </c>
      <c r="K10">
        <v>184.2</v>
      </c>
      <c r="L10">
        <v>209.3</v>
      </c>
      <c r="M10">
        <v>103</v>
      </c>
      <c r="N10">
        <v>313.10000000000002</v>
      </c>
      <c r="O10">
        <v>120.2</v>
      </c>
      <c r="R10">
        <f t="shared" si="0"/>
        <v>1347.7</v>
      </c>
    </row>
    <row r="11" spans="3:18" x14ac:dyDescent="0.3">
      <c r="C11">
        <v>1956</v>
      </c>
      <c r="D11">
        <v>329.2</v>
      </c>
      <c r="E11">
        <v>188.6</v>
      </c>
      <c r="F11">
        <v>253.8</v>
      </c>
      <c r="G11">
        <v>113.1</v>
      </c>
      <c r="H11">
        <v>234</v>
      </c>
      <c r="I11">
        <v>5.2</v>
      </c>
      <c r="J11">
        <v>66</v>
      </c>
      <c r="K11">
        <v>52</v>
      </c>
      <c r="L11">
        <v>960</v>
      </c>
      <c r="M11">
        <v>259</v>
      </c>
      <c r="N11">
        <v>85.4</v>
      </c>
      <c r="O11">
        <v>351.5</v>
      </c>
      <c r="R11">
        <f t="shared" si="0"/>
        <v>2897.7999999999997</v>
      </c>
    </row>
    <row r="12" spans="3:18" x14ac:dyDescent="0.3">
      <c r="C12">
        <v>1957</v>
      </c>
      <c r="D12">
        <v>216.4</v>
      </c>
      <c r="E12">
        <v>109.8</v>
      </c>
      <c r="F12">
        <v>290</v>
      </c>
      <c r="G12">
        <v>59</v>
      </c>
      <c r="H12">
        <v>27</v>
      </c>
      <c r="I12">
        <v>155</v>
      </c>
      <c r="J12">
        <v>74.400000000000006</v>
      </c>
      <c r="K12">
        <v>228</v>
      </c>
      <c r="L12">
        <v>70.3</v>
      </c>
      <c r="M12">
        <v>831</v>
      </c>
      <c r="N12">
        <v>749.3</v>
      </c>
      <c r="O12">
        <v>210</v>
      </c>
      <c r="R12">
        <f t="shared" si="0"/>
        <v>3020.2</v>
      </c>
    </row>
    <row r="13" spans="3:18" x14ac:dyDescent="0.3">
      <c r="C13">
        <v>1958</v>
      </c>
      <c r="D13">
        <v>107.2</v>
      </c>
      <c r="E13">
        <v>49.6</v>
      </c>
      <c r="F13">
        <v>48</v>
      </c>
      <c r="G13">
        <v>23.9</v>
      </c>
      <c r="H13">
        <v>11</v>
      </c>
      <c r="I13">
        <v>79.400000000000006</v>
      </c>
      <c r="J13">
        <v>133.30000000000001</v>
      </c>
      <c r="K13">
        <v>98.4</v>
      </c>
      <c r="L13">
        <v>309.5</v>
      </c>
      <c r="M13">
        <v>730.9</v>
      </c>
      <c r="N13">
        <v>701.3</v>
      </c>
      <c r="O13">
        <v>197.4</v>
      </c>
      <c r="R13">
        <f t="shared" si="0"/>
        <v>2489.9</v>
      </c>
    </row>
    <row r="14" spans="3:18" x14ac:dyDescent="0.3">
      <c r="C14">
        <v>1959</v>
      </c>
      <c r="D14">
        <v>81</v>
      </c>
      <c r="E14">
        <v>352.6</v>
      </c>
      <c r="F14">
        <v>106.8</v>
      </c>
      <c r="G14">
        <v>19.2</v>
      </c>
      <c r="H14">
        <v>35</v>
      </c>
      <c r="I14">
        <v>48.1</v>
      </c>
      <c r="J14">
        <v>17.5</v>
      </c>
      <c r="K14">
        <v>465.8</v>
      </c>
      <c r="L14">
        <v>238.7</v>
      </c>
      <c r="M14">
        <v>382.7</v>
      </c>
      <c r="N14">
        <v>586.5</v>
      </c>
      <c r="O14">
        <v>174.3</v>
      </c>
      <c r="R14">
        <f t="shared" si="0"/>
        <v>2508.2000000000003</v>
      </c>
    </row>
    <row r="15" spans="3:18" x14ac:dyDescent="0.3">
      <c r="C15">
        <v>1960</v>
      </c>
      <c r="D15">
        <v>36.5</v>
      </c>
      <c r="E15">
        <v>52.8</v>
      </c>
      <c r="F15">
        <v>235.5</v>
      </c>
      <c r="G15">
        <v>90.2</v>
      </c>
      <c r="H15">
        <v>34.700000000000003</v>
      </c>
      <c r="I15">
        <v>176</v>
      </c>
      <c r="J15">
        <v>35.1</v>
      </c>
      <c r="K15">
        <v>119.2</v>
      </c>
      <c r="L15">
        <v>483.6</v>
      </c>
      <c r="M15">
        <v>147.6</v>
      </c>
      <c r="N15">
        <v>454.2</v>
      </c>
      <c r="O15">
        <v>106.3</v>
      </c>
      <c r="R15">
        <f t="shared" si="0"/>
        <v>1971.7</v>
      </c>
    </row>
    <row r="16" spans="3:18" x14ac:dyDescent="0.3">
      <c r="C16">
        <v>1961</v>
      </c>
      <c r="D16">
        <v>160.69999999999999</v>
      </c>
      <c r="E16">
        <v>116.2</v>
      </c>
      <c r="F16">
        <v>51</v>
      </c>
      <c r="G16">
        <v>79</v>
      </c>
      <c r="H16">
        <v>96.4</v>
      </c>
      <c r="I16">
        <v>17</v>
      </c>
      <c r="J16">
        <v>28.8</v>
      </c>
      <c r="K16">
        <v>24</v>
      </c>
      <c r="L16">
        <v>496</v>
      </c>
      <c r="M16">
        <v>419</v>
      </c>
      <c r="N16">
        <v>96.8</v>
      </c>
      <c r="O16">
        <v>104.3</v>
      </c>
      <c r="R16">
        <f t="shared" si="0"/>
        <v>1689.1999999999998</v>
      </c>
    </row>
    <row r="17" spans="3:18" x14ac:dyDescent="0.3">
      <c r="C17">
        <v>1962</v>
      </c>
      <c r="D17">
        <v>224</v>
      </c>
      <c r="E17">
        <v>38.9</v>
      </c>
      <c r="F17">
        <v>38</v>
      </c>
      <c r="G17">
        <v>62.8</v>
      </c>
      <c r="H17">
        <v>10.199999999999999</v>
      </c>
      <c r="I17">
        <v>81.099999999999994</v>
      </c>
      <c r="J17">
        <v>33</v>
      </c>
      <c r="K17">
        <v>342.9</v>
      </c>
      <c r="L17">
        <v>448.2</v>
      </c>
      <c r="M17">
        <v>405.4</v>
      </c>
      <c r="N17">
        <v>210.7</v>
      </c>
      <c r="O17">
        <v>230.6</v>
      </c>
      <c r="R17">
        <f t="shared" si="0"/>
        <v>2125.8000000000002</v>
      </c>
    </row>
    <row r="18" spans="3:18" x14ac:dyDescent="0.3">
      <c r="C18">
        <v>1963</v>
      </c>
      <c r="D18">
        <v>97.3</v>
      </c>
      <c r="E18">
        <v>106.3</v>
      </c>
      <c r="F18">
        <v>133.5</v>
      </c>
      <c r="G18">
        <v>35.700000000000003</v>
      </c>
      <c r="H18">
        <v>116.3</v>
      </c>
      <c r="I18">
        <v>73</v>
      </c>
      <c r="J18">
        <v>86.2</v>
      </c>
      <c r="K18">
        <v>140.1</v>
      </c>
      <c r="L18">
        <v>134.5</v>
      </c>
      <c r="M18">
        <v>321.8</v>
      </c>
      <c r="N18">
        <v>359.6</v>
      </c>
      <c r="O18">
        <v>393.6</v>
      </c>
      <c r="R18">
        <f t="shared" si="0"/>
        <v>1997.9</v>
      </c>
    </row>
    <row r="19" spans="3:18" x14ac:dyDescent="0.3">
      <c r="C19">
        <v>1964</v>
      </c>
      <c r="D19">
        <v>243.6</v>
      </c>
      <c r="E19">
        <v>93.4</v>
      </c>
      <c r="F19">
        <v>84.3</v>
      </c>
      <c r="G19">
        <v>231</v>
      </c>
      <c r="H19">
        <v>9.4</v>
      </c>
      <c r="I19">
        <v>40.200000000000003</v>
      </c>
      <c r="J19">
        <v>7.9</v>
      </c>
      <c r="K19">
        <v>112.6</v>
      </c>
      <c r="L19">
        <v>84.5</v>
      </c>
      <c r="M19">
        <v>126.2</v>
      </c>
      <c r="N19">
        <v>72.5</v>
      </c>
      <c r="O19">
        <v>297.60000000000002</v>
      </c>
      <c r="R19">
        <f t="shared" si="0"/>
        <v>1403.1999999999998</v>
      </c>
    </row>
    <row r="20" spans="3:18" x14ac:dyDescent="0.3">
      <c r="C20">
        <v>1965</v>
      </c>
      <c r="D20">
        <v>228.4</v>
      </c>
      <c r="E20">
        <v>28.1</v>
      </c>
      <c r="F20">
        <v>65.2</v>
      </c>
      <c r="G20">
        <v>56.8</v>
      </c>
      <c r="H20">
        <v>27.2</v>
      </c>
      <c r="I20">
        <v>62.7</v>
      </c>
      <c r="J20">
        <v>196.4</v>
      </c>
      <c r="K20">
        <v>56.4</v>
      </c>
      <c r="L20">
        <v>289.8</v>
      </c>
      <c r="M20">
        <v>487</v>
      </c>
      <c r="N20">
        <v>116.6</v>
      </c>
      <c r="O20">
        <v>64</v>
      </c>
      <c r="R20">
        <f t="shared" si="0"/>
        <v>1678.6</v>
      </c>
    </row>
    <row r="21" spans="3:18" x14ac:dyDescent="0.3">
      <c r="C21">
        <v>1966</v>
      </c>
      <c r="D21">
        <v>100.4</v>
      </c>
      <c r="E21">
        <v>88.4</v>
      </c>
      <c r="F21">
        <v>98.1</v>
      </c>
      <c r="G21">
        <v>64.2</v>
      </c>
      <c r="H21">
        <v>50.3</v>
      </c>
      <c r="I21">
        <v>10.5</v>
      </c>
      <c r="J21">
        <v>2.8</v>
      </c>
      <c r="K21">
        <v>165.4</v>
      </c>
      <c r="L21">
        <v>345.6</v>
      </c>
      <c r="M21">
        <v>439</v>
      </c>
      <c r="N21">
        <v>164.4</v>
      </c>
      <c r="O21">
        <v>95.8</v>
      </c>
      <c r="R21">
        <f t="shared" si="0"/>
        <v>1624.9</v>
      </c>
    </row>
    <row r="22" spans="3:18" x14ac:dyDescent="0.3">
      <c r="C22">
        <v>1967</v>
      </c>
      <c r="D22">
        <v>65</v>
      </c>
      <c r="E22">
        <v>160.19999999999999</v>
      </c>
      <c r="F22">
        <v>186.7</v>
      </c>
      <c r="G22">
        <v>31.9</v>
      </c>
      <c r="H22">
        <v>31.3</v>
      </c>
      <c r="I22">
        <v>27.1</v>
      </c>
      <c r="J22">
        <v>42</v>
      </c>
      <c r="K22">
        <v>21.9</v>
      </c>
      <c r="L22">
        <v>281.5</v>
      </c>
      <c r="M22">
        <v>378.4</v>
      </c>
      <c r="N22">
        <v>255</v>
      </c>
      <c r="O22">
        <v>84</v>
      </c>
      <c r="R22">
        <f t="shared" si="0"/>
        <v>1565</v>
      </c>
    </row>
    <row r="23" spans="3:18" x14ac:dyDescent="0.3">
      <c r="C23">
        <v>1968</v>
      </c>
      <c r="D23">
        <v>83.7</v>
      </c>
      <c r="E23">
        <v>190</v>
      </c>
      <c r="F23">
        <v>124.9</v>
      </c>
      <c r="G23">
        <v>83.2</v>
      </c>
      <c r="H23">
        <v>42.1</v>
      </c>
      <c r="I23">
        <v>89.4</v>
      </c>
      <c r="J23">
        <v>29.4</v>
      </c>
      <c r="K23">
        <v>25.4</v>
      </c>
      <c r="L23">
        <v>94.2</v>
      </c>
      <c r="M23">
        <v>301.39999999999998</v>
      </c>
      <c r="N23">
        <v>311.10000000000002</v>
      </c>
      <c r="O23">
        <v>169.3</v>
      </c>
      <c r="R23">
        <f t="shared" si="0"/>
        <v>1544.0999999999997</v>
      </c>
    </row>
    <row r="24" spans="3:18" x14ac:dyDescent="0.3">
      <c r="C24">
        <v>1969</v>
      </c>
      <c r="D24">
        <v>343.4</v>
      </c>
      <c r="E24">
        <v>237</v>
      </c>
      <c r="F24">
        <v>159.9</v>
      </c>
      <c r="G24">
        <v>70.3</v>
      </c>
      <c r="H24">
        <v>77.5</v>
      </c>
      <c r="I24">
        <v>158</v>
      </c>
      <c r="J24">
        <v>71.2</v>
      </c>
      <c r="K24">
        <v>35</v>
      </c>
      <c r="L24">
        <v>400.6</v>
      </c>
      <c r="M24">
        <v>401.1</v>
      </c>
      <c r="N24">
        <v>275</v>
      </c>
      <c r="O24">
        <v>69</v>
      </c>
      <c r="R24">
        <f t="shared" si="0"/>
        <v>2298</v>
      </c>
    </row>
    <row r="25" spans="3:18" x14ac:dyDescent="0.3">
      <c r="C25">
        <v>1970</v>
      </c>
      <c r="D25">
        <v>316.39999999999998</v>
      </c>
      <c r="E25">
        <v>22.4</v>
      </c>
      <c r="F25">
        <v>89.5</v>
      </c>
      <c r="G25">
        <v>37.6</v>
      </c>
      <c r="H25">
        <v>27.8</v>
      </c>
      <c r="I25">
        <v>18</v>
      </c>
      <c r="J25">
        <v>100.2</v>
      </c>
      <c r="K25">
        <v>72.099999999999994</v>
      </c>
      <c r="L25">
        <v>59.3</v>
      </c>
      <c r="M25">
        <v>202.5</v>
      </c>
      <c r="N25">
        <v>135</v>
      </c>
      <c r="O25">
        <v>372</v>
      </c>
      <c r="R25">
        <f t="shared" si="0"/>
        <v>1452.8</v>
      </c>
    </row>
    <row r="26" spans="3:18" x14ac:dyDescent="0.3">
      <c r="C26">
        <v>1971</v>
      </c>
      <c r="D26">
        <v>198</v>
      </c>
      <c r="E26">
        <v>80.8</v>
      </c>
      <c r="F26">
        <v>39.200000000000003</v>
      </c>
      <c r="G26">
        <v>92.3</v>
      </c>
      <c r="H26">
        <v>7.1</v>
      </c>
      <c r="I26">
        <v>10.3</v>
      </c>
      <c r="J26">
        <v>0</v>
      </c>
      <c r="K26">
        <v>10.3</v>
      </c>
      <c r="L26">
        <v>124</v>
      </c>
      <c r="M26">
        <v>224.3</v>
      </c>
      <c r="N26">
        <v>158.19999999999999</v>
      </c>
      <c r="O26">
        <v>211.7</v>
      </c>
      <c r="R26">
        <f t="shared" si="0"/>
        <v>1156.2</v>
      </c>
    </row>
    <row r="27" spans="3:18" x14ac:dyDescent="0.3">
      <c r="C27">
        <v>1972</v>
      </c>
      <c r="D27">
        <v>460</v>
      </c>
      <c r="E27">
        <v>227.5</v>
      </c>
      <c r="F27">
        <v>180.5</v>
      </c>
      <c r="G27">
        <v>20</v>
      </c>
      <c r="H27">
        <v>87.2</v>
      </c>
      <c r="I27">
        <v>13.7</v>
      </c>
      <c r="J27">
        <v>4</v>
      </c>
      <c r="K27">
        <v>131.69999999999999</v>
      </c>
      <c r="L27">
        <v>148.5</v>
      </c>
      <c r="M27">
        <v>394.3</v>
      </c>
      <c r="N27">
        <v>417.6</v>
      </c>
      <c r="O27">
        <v>490.4</v>
      </c>
      <c r="R27">
        <f t="shared" si="0"/>
        <v>2575.4</v>
      </c>
    </row>
    <row r="28" spans="3:18" x14ac:dyDescent="0.3">
      <c r="C28">
        <v>1973</v>
      </c>
      <c r="D28">
        <v>124.5</v>
      </c>
      <c r="E28">
        <v>55</v>
      </c>
      <c r="F28">
        <v>107.9</v>
      </c>
      <c r="G28">
        <v>15.6</v>
      </c>
      <c r="H28">
        <v>44.4</v>
      </c>
      <c r="I28">
        <v>76.599999999999994</v>
      </c>
      <c r="J28">
        <v>20</v>
      </c>
      <c r="K28">
        <v>178.6</v>
      </c>
      <c r="L28">
        <v>344.7</v>
      </c>
      <c r="M28">
        <v>113.4</v>
      </c>
      <c r="N28">
        <v>142.69999999999999</v>
      </c>
      <c r="O28">
        <v>215.6</v>
      </c>
      <c r="R28">
        <f t="shared" si="0"/>
        <v>1439</v>
      </c>
    </row>
    <row r="29" spans="3:18" x14ac:dyDescent="0.3">
      <c r="C29">
        <v>1974</v>
      </c>
      <c r="D29">
        <v>232</v>
      </c>
      <c r="E29">
        <v>189.8</v>
      </c>
      <c r="F29">
        <v>122</v>
      </c>
      <c r="G29">
        <v>83.4</v>
      </c>
      <c r="H29">
        <v>9</v>
      </c>
      <c r="I29">
        <v>33</v>
      </c>
      <c r="J29">
        <v>170.7</v>
      </c>
      <c r="K29">
        <v>264.8</v>
      </c>
      <c r="L29">
        <v>106.9</v>
      </c>
      <c r="M29">
        <v>0.5</v>
      </c>
      <c r="N29">
        <v>306.39999999999998</v>
      </c>
      <c r="O29">
        <v>245</v>
      </c>
      <c r="R29">
        <f t="shared" si="0"/>
        <v>1763.5</v>
      </c>
    </row>
    <row r="30" spans="3:18" x14ac:dyDescent="0.3">
      <c r="C30">
        <v>1975</v>
      </c>
      <c r="D30">
        <v>126.7</v>
      </c>
      <c r="E30">
        <v>154.19999999999999</v>
      </c>
      <c r="F30">
        <v>118.8</v>
      </c>
      <c r="G30">
        <v>43.3</v>
      </c>
      <c r="H30">
        <v>38.9</v>
      </c>
      <c r="I30">
        <v>86.1</v>
      </c>
      <c r="J30">
        <v>0</v>
      </c>
      <c r="K30">
        <v>150.19999999999999</v>
      </c>
      <c r="L30">
        <v>233.3</v>
      </c>
      <c r="M30">
        <v>559.20000000000005</v>
      </c>
      <c r="N30">
        <v>500.4</v>
      </c>
      <c r="O30">
        <v>389.6</v>
      </c>
      <c r="R30">
        <f t="shared" si="0"/>
        <v>2400.6999999999998</v>
      </c>
    </row>
    <row r="31" spans="3:18" x14ac:dyDescent="0.3">
      <c r="C31">
        <v>1976</v>
      </c>
      <c r="D31">
        <v>63.5</v>
      </c>
      <c r="E31">
        <v>230.3</v>
      </c>
      <c r="F31">
        <v>165.3</v>
      </c>
      <c r="G31">
        <v>16.3</v>
      </c>
      <c r="H31">
        <v>61.5</v>
      </c>
      <c r="I31">
        <v>49</v>
      </c>
      <c r="J31">
        <v>82</v>
      </c>
      <c r="K31">
        <v>1.5</v>
      </c>
      <c r="L31">
        <v>342.3</v>
      </c>
      <c r="M31">
        <v>480.8</v>
      </c>
      <c r="N31">
        <v>258.3</v>
      </c>
      <c r="O31">
        <v>231</v>
      </c>
      <c r="R31">
        <f t="shared" si="0"/>
        <v>1981.8</v>
      </c>
    </row>
    <row r="32" spans="3:18" x14ac:dyDescent="0.3">
      <c r="C32">
        <v>1977</v>
      </c>
      <c r="D32">
        <v>363.3</v>
      </c>
      <c r="E32">
        <v>43.2</v>
      </c>
      <c r="F32">
        <v>42.5</v>
      </c>
      <c r="G32">
        <v>10.7</v>
      </c>
      <c r="H32">
        <v>90.3</v>
      </c>
      <c r="I32">
        <v>85.5</v>
      </c>
      <c r="J32">
        <v>7.2</v>
      </c>
      <c r="K32">
        <v>246.4</v>
      </c>
      <c r="L32">
        <v>234.2</v>
      </c>
      <c r="M32">
        <v>683</v>
      </c>
      <c r="N32">
        <v>269.60000000000002</v>
      </c>
      <c r="O32">
        <v>260.3</v>
      </c>
      <c r="R32">
        <f t="shared" si="0"/>
        <v>2336.2000000000003</v>
      </c>
    </row>
    <row r="33" spans="3:18" x14ac:dyDescent="0.3">
      <c r="C33">
        <v>1978</v>
      </c>
      <c r="D33">
        <v>70.099999999999994</v>
      </c>
      <c r="E33">
        <v>83.4</v>
      </c>
      <c r="F33">
        <v>66.5</v>
      </c>
      <c r="G33">
        <v>36.6</v>
      </c>
      <c r="H33">
        <v>82.3</v>
      </c>
      <c r="I33">
        <v>90.6</v>
      </c>
      <c r="J33">
        <v>6.3</v>
      </c>
      <c r="K33">
        <v>24.8</v>
      </c>
      <c r="L33">
        <v>54</v>
      </c>
      <c r="M33">
        <v>302.60000000000002</v>
      </c>
      <c r="N33">
        <v>893.2</v>
      </c>
      <c r="O33">
        <v>110.7</v>
      </c>
      <c r="R33">
        <f t="shared" si="0"/>
        <v>1821.1000000000001</v>
      </c>
    </row>
    <row r="34" spans="3:18" x14ac:dyDescent="0.3">
      <c r="C34">
        <v>1979</v>
      </c>
      <c r="D34">
        <v>290.7</v>
      </c>
      <c r="E34">
        <v>133.6</v>
      </c>
      <c r="F34">
        <v>111.4</v>
      </c>
      <c r="G34">
        <v>51.7</v>
      </c>
      <c r="H34">
        <v>35.6</v>
      </c>
      <c r="I34">
        <v>19.899999999999999</v>
      </c>
      <c r="J34">
        <v>30.7</v>
      </c>
      <c r="K34">
        <v>15.8</v>
      </c>
      <c r="L34">
        <v>144.4</v>
      </c>
      <c r="M34">
        <v>275.2</v>
      </c>
      <c r="N34">
        <v>254</v>
      </c>
      <c r="O34">
        <v>203.8</v>
      </c>
      <c r="R34">
        <f t="shared" si="0"/>
        <v>1566.8</v>
      </c>
    </row>
    <row r="35" spans="3:18" x14ac:dyDescent="0.3">
      <c r="C35">
        <v>1980</v>
      </c>
      <c r="D35">
        <v>302.89999999999998</v>
      </c>
      <c r="E35">
        <v>176.1</v>
      </c>
      <c r="F35">
        <v>133.69999999999999</v>
      </c>
      <c r="G35">
        <v>33.200000000000003</v>
      </c>
      <c r="H35">
        <v>65.3</v>
      </c>
      <c r="I35">
        <v>8</v>
      </c>
      <c r="J35">
        <v>11</v>
      </c>
      <c r="K35">
        <v>118</v>
      </c>
      <c r="L35">
        <v>111.9</v>
      </c>
      <c r="M35">
        <v>327.10000000000002</v>
      </c>
      <c r="N35">
        <v>199.8</v>
      </c>
      <c r="O35">
        <v>218</v>
      </c>
      <c r="R35">
        <f t="shared" si="0"/>
        <v>1705</v>
      </c>
    </row>
    <row r="36" spans="3:18" x14ac:dyDescent="0.3">
      <c r="C36">
        <v>1981</v>
      </c>
      <c r="D36">
        <v>79.7</v>
      </c>
      <c r="E36">
        <v>109.6</v>
      </c>
      <c r="F36">
        <v>130.80000000000001</v>
      </c>
      <c r="G36">
        <v>179</v>
      </c>
      <c r="H36">
        <v>38.4</v>
      </c>
      <c r="I36">
        <v>10.8</v>
      </c>
      <c r="J36">
        <v>100.7</v>
      </c>
      <c r="K36">
        <v>187.2</v>
      </c>
      <c r="L36">
        <v>259.2</v>
      </c>
      <c r="M36">
        <v>236.7</v>
      </c>
      <c r="N36">
        <v>61.6</v>
      </c>
      <c r="O36">
        <v>108</v>
      </c>
      <c r="R36">
        <f t="shared" si="0"/>
        <v>1501.7</v>
      </c>
    </row>
    <row r="37" spans="3:18" x14ac:dyDescent="0.3">
      <c r="C37">
        <v>1982</v>
      </c>
      <c r="D37">
        <v>279.8</v>
      </c>
      <c r="E37">
        <v>272.10000000000002</v>
      </c>
      <c r="F37">
        <v>155.9</v>
      </c>
      <c r="G37">
        <v>23.4</v>
      </c>
      <c r="H37">
        <v>83.8</v>
      </c>
      <c r="I37">
        <v>36.6</v>
      </c>
      <c r="J37">
        <v>5.8</v>
      </c>
      <c r="K37">
        <v>115.4</v>
      </c>
      <c r="L37">
        <v>239.7</v>
      </c>
      <c r="M37">
        <v>638</v>
      </c>
      <c r="N37">
        <v>661.4</v>
      </c>
      <c r="O37">
        <v>150.19999999999999</v>
      </c>
      <c r="R37">
        <f t="shared" si="0"/>
        <v>2662.1</v>
      </c>
    </row>
    <row r="38" spans="3:18" x14ac:dyDescent="0.3">
      <c r="C38">
        <v>1983</v>
      </c>
      <c r="D38">
        <v>175.8</v>
      </c>
      <c r="E38">
        <v>4.2</v>
      </c>
      <c r="F38">
        <v>146.19999999999999</v>
      </c>
      <c r="G38">
        <v>57.3</v>
      </c>
      <c r="H38">
        <v>53.7</v>
      </c>
      <c r="I38">
        <v>92.1</v>
      </c>
      <c r="J38">
        <v>45.4</v>
      </c>
      <c r="K38">
        <v>157</v>
      </c>
      <c r="L38">
        <v>217.1</v>
      </c>
      <c r="M38">
        <v>229.2</v>
      </c>
      <c r="N38">
        <v>154.69999999999999</v>
      </c>
      <c r="O38">
        <v>234</v>
      </c>
      <c r="R38">
        <f t="shared" si="0"/>
        <v>1566.7</v>
      </c>
    </row>
    <row r="39" spans="3:18" x14ac:dyDescent="0.3">
      <c r="C39">
        <v>1984</v>
      </c>
      <c r="D39">
        <v>120.6</v>
      </c>
      <c r="E39">
        <v>225.8</v>
      </c>
      <c r="F39">
        <v>76.099999999999994</v>
      </c>
      <c r="G39">
        <v>34.4</v>
      </c>
      <c r="H39">
        <v>63.6</v>
      </c>
      <c r="I39">
        <v>8.3000000000000007</v>
      </c>
      <c r="J39">
        <v>3.1</v>
      </c>
      <c r="K39">
        <v>162</v>
      </c>
      <c r="L39">
        <v>58.2</v>
      </c>
      <c r="M39">
        <v>357.7</v>
      </c>
      <c r="N39">
        <v>473</v>
      </c>
      <c r="O39">
        <v>361.2</v>
      </c>
      <c r="R39">
        <f t="shared" si="0"/>
        <v>1944</v>
      </c>
    </row>
    <row r="40" spans="3:18" x14ac:dyDescent="0.3">
      <c r="C40">
        <v>1985</v>
      </c>
      <c r="D40">
        <v>104.1</v>
      </c>
      <c r="E40">
        <v>113.2</v>
      </c>
      <c r="F40">
        <v>153.80000000000001</v>
      </c>
      <c r="G40">
        <v>16.2</v>
      </c>
      <c r="H40">
        <v>10.3</v>
      </c>
      <c r="I40">
        <v>10</v>
      </c>
      <c r="J40">
        <v>55.7</v>
      </c>
      <c r="K40">
        <v>8.9</v>
      </c>
      <c r="L40">
        <v>241.5</v>
      </c>
      <c r="M40">
        <v>548.4</v>
      </c>
      <c r="N40">
        <v>251</v>
      </c>
      <c r="O40">
        <v>274.3</v>
      </c>
      <c r="R40">
        <f t="shared" si="0"/>
        <v>1787.3999999999999</v>
      </c>
    </row>
    <row r="41" spans="3:18" x14ac:dyDescent="0.3">
      <c r="C41">
        <v>1986</v>
      </c>
      <c r="D41">
        <v>152.1</v>
      </c>
      <c r="E41">
        <v>86.8</v>
      </c>
      <c r="F41">
        <v>111.7</v>
      </c>
      <c r="G41">
        <v>22</v>
      </c>
      <c r="H41">
        <v>52.2</v>
      </c>
      <c r="I41">
        <v>191.3</v>
      </c>
      <c r="J41">
        <v>8.6999999999999993</v>
      </c>
      <c r="K41">
        <v>58</v>
      </c>
      <c r="L41">
        <v>206.7</v>
      </c>
      <c r="M41">
        <v>231</v>
      </c>
      <c r="N41">
        <v>513.1</v>
      </c>
      <c r="O41">
        <v>464.8</v>
      </c>
      <c r="R41">
        <f t="shared" si="0"/>
        <v>2098.4</v>
      </c>
    </row>
    <row r="42" spans="3:18" x14ac:dyDescent="0.3">
      <c r="C42">
        <v>1987</v>
      </c>
      <c r="D42">
        <v>47.7</v>
      </c>
      <c r="E42">
        <v>110.5</v>
      </c>
      <c r="F42">
        <v>91.4</v>
      </c>
      <c r="G42">
        <v>43.4</v>
      </c>
      <c r="H42">
        <v>6.3</v>
      </c>
      <c r="I42">
        <v>0.1</v>
      </c>
      <c r="J42">
        <v>48.7</v>
      </c>
      <c r="K42">
        <v>308</v>
      </c>
      <c r="L42">
        <v>178.3</v>
      </c>
      <c r="M42">
        <v>564.29999999999995</v>
      </c>
      <c r="N42">
        <v>167.4</v>
      </c>
      <c r="O42">
        <v>194.3</v>
      </c>
      <c r="R42">
        <f t="shared" si="0"/>
        <v>1760.4</v>
      </c>
    </row>
    <row r="43" spans="3:18" x14ac:dyDescent="0.3">
      <c r="C43">
        <v>1988</v>
      </c>
      <c r="D43">
        <v>178.6</v>
      </c>
      <c r="E43">
        <v>103.8</v>
      </c>
      <c r="F43">
        <v>54.2</v>
      </c>
      <c r="G43">
        <v>62.6</v>
      </c>
      <c r="H43">
        <v>51.2</v>
      </c>
      <c r="I43">
        <v>49.4</v>
      </c>
      <c r="J43">
        <v>44.5</v>
      </c>
      <c r="K43">
        <v>361.3</v>
      </c>
      <c r="L43">
        <v>287.10000000000002</v>
      </c>
      <c r="M43">
        <v>268.60000000000002</v>
      </c>
      <c r="N43">
        <v>137.1</v>
      </c>
      <c r="O43">
        <v>103.5</v>
      </c>
      <c r="R43">
        <f t="shared" si="0"/>
        <v>1701.8999999999996</v>
      </c>
    </row>
    <row r="44" spans="3:18" x14ac:dyDescent="0.3">
      <c r="C44">
        <v>1989</v>
      </c>
      <c r="D44">
        <v>353.9</v>
      </c>
      <c r="E44">
        <v>197.2</v>
      </c>
      <c r="F44">
        <v>131.9</v>
      </c>
      <c r="G44">
        <v>6.7</v>
      </c>
      <c r="H44">
        <v>25.1</v>
      </c>
      <c r="I44">
        <v>1</v>
      </c>
      <c r="J44">
        <v>20.5</v>
      </c>
      <c r="K44">
        <v>63.7</v>
      </c>
      <c r="L44">
        <v>285.2</v>
      </c>
      <c r="M44">
        <v>429.1</v>
      </c>
      <c r="N44">
        <v>126.3</v>
      </c>
      <c r="O44">
        <v>177.2</v>
      </c>
      <c r="R44">
        <f t="shared" si="0"/>
        <v>1817.8000000000002</v>
      </c>
    </row>
    <row r="45" spans="3:18" x14ac:dyDescent="0.3">
      <c r="C45">
        <v>1990</v>
      </c>
      <c r="D45">
        <v>199.6</v>
      </c>
      <c r="E45">
        <v>147</v>
      </c>
      <c r="F45">
        <v>99.8</v>
      </c>
      <c r="G45">
        <v>72.5</v>
      </c>
      <c r="H45">
        <v>49</v>
      </c>
      <c r="I45">
        <v>1.4</v>
      </c>
      <c r="J45">
        <v>116.9</v>
      </c>
      <c r="K45">
        <v>49.3</v>
      </c>
      <c r="L45">
        <v>59</v>
      </c>
      <c r="M45">
        <v>426.8</v>
      </c>
      <c r="N45">
        <v>64.3</v>
      </c>
      <c r="O45">
        <v>307.7</v>
      </c>
      <c r="R45">
        <f t="shared" si="0"/>
        <v>1593.3</v>
      </c>
    </row>
    <row r="46" spans="3:18" x14ac:dyDescent="0.3">
      <c r="C46">
        <v>1991</v>
      </c>
      <c r="D46">
        <v>57</v>
      </c>
      <c r="E46">
        <v>127.2</v>
      </c>
      <c r="F46">
        <v>136.6</v>
      </c>
      <c r="G46">
        <v>10.6</v>
      </c>
      <c r="H46">
        <v>55.3</v>
      </c>
      <c r="I46">
        <v>0.1</v>
      </c>
      <c r="J46">
        <v>60.7</v>
      </c>
      <c r="K46">
        <v>41.6</v>
      </c>
      <c r="L46">
        <v>196.4</v>
      </c>
      <c r="M46">
        <v>76.7</v>
      </c>
      <c r="N46">
        <v>305.5</v>
      </c>
      <c r="O46">
        <v>170.1</v>
      </c>
      <c r="R46">
        <f t="shared" si="0"/>
        <v>1237.8</v>
      </c>
    </row>
    <row r="47" spans="3:18" x14ac:dyDescent="0.3">
      <c r="C47">
        <v>1992</v>
      </c>
      <c r="D47">
        <v>212.1</v>
      </c>
      <c r="E47">
        <v>118.2</v>
      </c>
      <c r="F47">
        <v>89.8</v>
      </c>
      <c r="G47">
        <v>140.9</v>
      </c>
      <c r="H47">
        <v>83.9</v>
      </c>
      <c r="I47">
        <v>31.4</v>
      </c>
      <c r="J47">
        <v>144.6</v>
      </c>
      <c r="K47">
        <v>143.69999999999999</v>
      </c>
      <c r="L47">
        <v>347.3</v>
      </c>
      <c r="M47">
        <v>196.1</v>
      </c>
      <c r="N47">
        <v>103.8</v>
      </c>
      <c r="O47">
        <v>173.4</v>
      </c>
      <c r="R47">
        <f t="shared" si="0"/>
        <v>1785.1999999999998</v>
      </c>
    </row>
    <row r="48" spans="3:18" x14ac:dyDescent="0.3">
      <c r="C48">
        <v>1993</v>
      </c>
      <c r="D48">
        <v>126.4</v>
      </c>
      <c r="E48">
        <v>77</v>
      </c>
      <c r="F48">
        <v>68.3</v>
      </c>
      <c r="G48">
        <v>39.5</v>
      </c>
      <c r="H48">
        <v>39.9</v>
      </c>
      <c r="I48">
        <v>59</v>
      </c>
      <c r="J48">
        <v>33.4</v>
      </c>
      <c r="K48">
        <v>92.9</v>
      </c>
      <c r="L48">
        <v>246.1</v>
      </c>
      <c r="M48">
        <v>432.7</v>
      </c>
      <c r="N48">
        <v>505.8</v>
      </c>
      <c r="O48">
        <v>84.4</v>
      </c>
      <c r="R48">
        <f t="shared" si="0"/>
        <v>1805.4</v>
      </c>
    </row>
    <row r="49" spans="3:18" x14ac:dyDescent="0.3">
      <c r="C49">
        <v>1994</v>
      </c>
      <c r="D49">
        <v>85.2</v>
      </c>
      <c r="E49">
        <v>159.6</v>
      </c>
      <c r="F49">
        <v>65.900000000000006</v>
      </c>
      <c r="G49">
        <v>26.5</v>
      </c>
      <c r="H49">
        <v>43.5</v>
      </c>
      <c r="I49">
        <v>170.5</v>
      </c>
      <c r="J49">
        <v>3</v>
      </c>
      <c r="K49">
        <v>23.8</v>
      </c>
      <c r="L49">
        <v>84.7</v>
      </c>
      <c r="M49">
        <v>360.9</v>
      </c>
      <c r="N49">
        <v>377</v>
      </c>
      <c r="O49">
        <v>159.4</v>
      </c>
      <c r="R49">
        <f t="shared" si="0"/>
        <v>1560</v>
      </c>
    </row>
    <row r="50" spans="3:18" x14ac:dyDescent="0.3">
      <c r="C50">
        <v>1995</v>
      </c>
      <c r="D50">
        <v>56.6</v>
      </c>
      <c r="E50">
        <v>71</v>
      </c>
      <c r="F50">
        <v>36.1</v>
      </c>
      <c r="G50">
        <v>28.5</v>
      </c>
      <c r="H50">
        <v>17.3</v>
      </c>
      <c r="I50">
        <v>23.5</v>
      </c>
      <c r="J50">
        <v>3.5</v>
      </c>
      <c r="K50">
        <v>77.3</v>
      </c>
      <c r="L50">
        <v>401.7</v>
      </c>
      <c r="M50">
        <v>323.7</v>
      </c>
      <c r="N50">
        <v>13.9</v>
      </c>
      <c r="O50">
        <v>314.5</v>
      </c>
      <c r="R50">
        <f t="shared" si="0"/>
        <v>1367.6000000000001</v>
      </c>
    </row>
    <row r="51" spans="3:18" x14ac:dyDescent="0.3">
      <c r="C51">
        <v>1996</v>
      </c>
      <c r="D51">
        <v>215.8</v>
      </c>
      <c r="E51">
        <v>157.1</v>
      </c>
      <c r="F51">
        <v>122.3</v>
      </c>
      <c r="G51">
        <v>81.400000000000006</v>
      </c>
      <c r="H51">
        <v>21.7</v>
      </c>
      <c r="I51">
        <v>22.8</v>
      </c>
      <c r="J51">
        <v>1.2</v>
      </c>
      <c r="K51">
        <v>22.2</v>
      </c>
      <c r="L51">
        <v>118.5</v>
      </c>
      <c r="M51">
        <v>388.8</v>
      </c>
      <c r="N51">
        <v>284.3</v>
      </c>
      <c r="O51">
        <v>36.9</v>
      </c>
      <c r="R51">
        <f t="shared" si="0"/>
        <v>1473.0000000000002</v>
      </c>
    </row>
    <row r="52" spans="3:18" x14ac:dyDescent="0.3">
      <c r="C52">
        <v>1997</v>
      </c>
      <c r="D52">
        <v>175.2</v>
      </c>
      <c r="E52">
        <v>78.400000000000006</v>
      </c>
      <c r="F52">
        <v>115.4</v>
      </c>
      <c r="G52">
        <v>46.6</v>
      </c>
      <c r="H52">
        <v>8.5</v>
      </c>
      <c r="I52">
        <v>68.900000000000006</v>
      </c>
      <c r="J52">
        <v>133.19999999999999</v>
      </c>
      <c r="K52">
        <v>65.5</v>
      </c>
      <c r="L52">
        <v>742.9</v>
      </c>
      <c r="M52">
        <v>118.5</v>
      </c>
      <c r="N52">
        <v>223</v>
      </c>
      <c r="O52">
        <v>205.1</v>
      </c>
      <c r="R52">
        <f t="shared" si="0"/>
        <v>1981.1999999999998</v>
      </c>
    </row>
    <row r="53" spans="3:18" x14ac:dyDescent="0.3">
      <c r="C53">
        <v>1998</v>
      </c>
      <c r="D53">
        <v>207.2</v>
      </c>
      <c r="E53">
        <v>180.3</v>
      </c>
      <c r="F53">
        <v>24.9</v>
      </c>
      <c r="G53">
        <v>15.8</v>
      </c>
      <c r="H53">
        <v>35.299999999999997</v>
      </c>
      <c r="I53">
        <v>24.5</v>
      </c>
      <c r="J53">
        <v>67.599999999999994</v>
      </c>
      <c r="K53">
        <v>62.3</v>
      </c>
      <c r="L53">
        <v>512.6</v>
      </c>
      <c r="M53">
        <v>339.6</v>
      </c>
      <c r="N53">
        <v>269.39999999999998</v>
      </c>
      <c r="O53">
        <v>182.1</v>
      </c>
      <c r="R53">
        <f t="shared" si="0"/>
        <v>1921.6</v>
      </c>
    </row>
    <row r="54" spans="3:18" x14ac:dyDescent="0.3">
      <c r="C54">
        <v>1999</v>
      </c>
      <c r="D54">
        <v>156</v>
      </c>
      <c r="E54">
        <v>13</v>
      </c>
      <c r="F54">
        <v>49.7</v>
      </c>
      <c r="G54">
        <v>45.2</v>
      </c>
      <c r="H54">
        <v>45.8</v>
      </c>
      <c r="I54">
        <v>4.5999999999999996</v>
      </c>
      <c r="J54">
        <v>45.5</v>
      </c>
      <c r="K54">
        <v>114.8</v>
      </c>
      <c r="L54">
        <v>368.5</v>
      </c>
      <c r="M54">
        <v>233.5</v>
      </c>
      <c r="N54">
        <v>291</v>
      </c>
      <c r="O54">
        <v>75</v>
      </c>
      <c r="R54">
        <f t="shared" si="0"/>
        <v>1442.6</v>
      </c>
    </row>
    <row r="55" spans="3:18" x14ac:dyDescent="0.3">
      <c r="C55">
        <v>2000</v>
      </c>
      <c r="D55">
        <v>197.8</v>
      </c>
      <c r="E55">
        <v>108</v>
      </c>
      <c r="F55">
        <v>112.6</v>
      </c>
      <c r="G55">
        <v>4.8</v>
      </c>
      <c r="H55">
        <v>18.399999999999999</v>
      </c>
      <c r="I55">
        <v>49.7</v>
      </c>
      <c r="J55">
        <v>2.7</v>
      </c>
      <c r="K55">
        <v>141.19999999999999</v>
      </c>
      <c r="L55">
        <v>219.6</v>
      </c>
      <c r="M55">
        <v>408.9</v>
      </c>
      <c r="N55">
        <v>489.2</v>
      </c>
      <c r="O55">
        <v>256.89999999999998</v>
      </c>
      <c r="R55">
        <f t="shared" si="0"/>
        <v>2009.7999999999997</v>
      </c>
    </row>
    <row r="56" spans="3:18" x14ac:dyDescent="0.3">
      <c r="C56">
        <v>2001</v>
      </c>
      <c r="D56">
        <v>358.3</v>
      </c>
      <c r="E56">
        <v>24.8</v>
      </c>
      <c r="F56">
        <v>67.7</v>
      </c>
      <c r="G56">
        <v>17.8</v>
      </c>
      <c r="H56">
        <v>51.6</v>
      </c>
      <c r="I56">
        <v>39</v>
      </c>
      <c r="J56">
        <v>4.5</v>
      </c>
      <c r="K56">
        <v>90</v>
      </c>
      <c r="L56">
        <v>366.6</v>
      </c>
      <c r="M56">
        <v>480.4</v>
      </c>
      <c r="N56">
        <v>224.9</v>
      </c>
      <c r="O56">
        <v>178</v>
      </c>
      <c r="R56">
        <f t="shared" si="0"/>
        <v>1903.6000000000001</v>
      </c>
    </row>
    <row r="57" spans="3:18" x14ac:dyDescent="0.3">
      <c r="C57">
        <v>2002</v>
      </c>
      <c r="D57">
        <v>59.1</v>
      </c>
      <c r="E57">
        <v>35.700000000000003</v>
      </c>
      <c r="F57">
        <v>67.099999999999994</v>
      </c>
      <c r="G57">
        <v>66.7</v>
      </c>
      <c r="H57">
        <v>69.400000000000006</v>
      </c>
      <c r="I57">
        <v>17.100000000000001</v>
      </c>
      <c r="J57">
        <v>7.3</v>
      </c>
      <c r="K57">
        <v>144.30000000000001</v>
      </c>
      <c r="L57">
        <v>104.1</v>
      </c>
      <c r="M57">
        <v>125.7</v>
      </c>
      <c r="N57">
        <v>198.5</v>
      </c>
      <c r="O57">
        <v>529.79999999999995</v>
      </c>
      <c r="R57">
        <f t="shared" si="0"/>
        <v>1424.8000000000002</v>
      </c>
    </row>
    <row r="58" spans="3:18" x14ac:dyDescent="0.3">
      <c r="C58">
        <v>2003</v>
      </c>
      <c r="D58">
        <v>74.7</v>
      </c>
      <c r="E58">
        <v>129.4</v>
      </c>
      <c r="F58">
        <v>112.4</v>
      </c>
      <c r="G58">
        <v>121.4</v>
      </c>
      <c r="H58">
        <v>55</v>
      </c>
      <c r="I58">
        <v>62.3</v>
      </c>
      <c r="J58">
        <v>13</v>
      </c>
      <c r="K58">
        <v>27.7</v>
      </c>
      <c r="L58">
        <v>489</v>
      </c>
      <c r="M58">
        <v>64.8</v>
      </c>
      <c r="N58">
        <v>344.1</v>
      </c>
      <c r="O58">
        <v>353.8</v>
      </c>
      <c r="R58">
        <f t="shared" si="0"/>
        <v>1847.6000000000001</v>
      </c>
    </row>
    <row r="59" spans="3:18" x14ac:dyDescent="0.3">
      <c r="C59">
        <v>2004</v>
      </c>
      <c r="D59">
        <v>83.7</v>
      </c>
      <c r="E59">
        <v>33.200000000000003</v>
      </c>
      <c r="F59">
        <v>174.9</v>
      </c>
      <c r="G59">
        <v>130.69999999999999</v>
      </c>
      <c r="H59">
        <v>72.400000000000006</v>
      </c>
      <c r="I59">
        <v>76.400000000000006</v>
      </c>
      <c r="J59">
        <v>76.3</v>
      </c>
      <c r="K59">
        <v>127.4</v>
      </c>
      <c r="L59">
        <v>357.9</v>
      </c>
      <c r="M59">
        <v>205.3</v>
      </c>
      <c r="N59">
        <v>411.5</v>
      </c>
      <c r="O59">
        <v>231.8</v>
      </c>
      <c r="R59">
        <f t="shared" si="0"/>
        <v>1981.4999999999998</v>
      </c>
    </row>
    <row r="60" spans="3:18" x14ac:dyDescent="0.3">
      <c r="C60">
        <v>2005</v>
      </c>
      <c r="D60">
        <v>65.8</v>
      </c>
      <c r="E60">
        <v>314.8</v>
      </c>
      <c r="F60">
        <v>104</v>
      </c>
      <c r="G60">
        <v>32.9</v>
      </c>
      <c r="H60">
        <v>50.6</v>
      </c>
      <c r="I60">
        <v>34.6</v>
      </c>
      <c r="J60">
        <v>43.3</v>
      </c>
      <c r="K60">
        <v>68.8</v>
      </c>
      <c r="L60">
        <v>263.2</v>
      </c>
      <c r="M60">
        <v>297.2</v>
      </c>
      <c r="N60">
        <v>250.7</v>
      </c>
      <c r="O60">
        <v>79.2</v>
      </c>
      <c r="R60">
        <f t="shared" si="0"/>
        <v>1605.1000000000001</v>
      </c>
    </row>
    <row r="61" spans="3:18" x14ac:dyDescent="0.3">
      <c r="C61">
        <v>2006</v>
      </c>
      <c r="D61">
        <v>191.2</v>
      </c>
      <c r="E61">
        <v>18.600000000000001</v>
      </c>
      <c r="F61">
        <v>19.5</v>
      </c>
      <c r="G61">
        <v>66.099999999999994</v>
      </c>
      <c r="H61">
        <v>20.8</v>
      </c>
      <c r="I61">
        <v>0.1</v>
      </c>
      <c r="J61">
        <v>63.1</v>
      </c>
      <c r="K61">
        <v>0</v>
      </c>
      <c r="L61">
        <v>381.5</v>
      </c>
      <c r="M61">
        <v>287</v>
      </c>
      <c r="N61">
        <v>419.1</v>
      </c>
      <c r="O61">
        <v>462.2</v>
      </c>
      <c r="R61">
        <f t="shared" si="0"/>
        <v>1929.2</v>
      </c>
    </row>
    <row r="62" spans="3:18" x14ac:dyDescent="0.3">
      <c r="C62">
        <v>2007</v>
      </c>
      <c r="D62">
        <v>59.1</v>
      </c>
      <c r="E62">
        <v>147.9</v>
      </c>
      <c r="F62">
        <v>154.80000000000001</v>
      </c>
      <c r="G62">
        <v>120.3</v>
      </c>
      <c r="H62">
        <v>15</v>
      </c>
      <c r="I62">
        <v>58.9</v>
      </c>
      <c r="J62">
        <v>53.9</v>
      </c>
      <c r="K62">
        <v>0.2</v>
      </c>
      <c r="L62">
        <v>231.1</v>
      </c>
      <c r="M62">
        <v>94.7</v>
      </c>
      <c r="N62">
        <v>264.10000000000002</v>
      </c>
      <c r="O62">
        <v>160.80000000000001</v>
      </c>
      <c r="R62">
        <f t="shared" si="0"/>
        <v>1360.8</v>
      </c>
    </row>
    <row r="63" spans="3:18" x14ac:dyDescent="0.3">
      <c r="C63">
        <v>2008</v>
      </c>
      <c r="D63">
        <v>385.2</v>
      </c>
      <c r="E63">
        <v>136.19999999999999</v>
      </c>
      <c r="F63">
        <v>5.6</v>
      </c>
      <c r="G63">
        <v>2.2999999999999998</v>
      </c>
      <c r="H63">
        <v>22.6</v>
      </c>
      <c r="I63">
        <v>71.8</v>
      </c>
      <c r="J63">
        <v>45.8</v>
      </c>
      <c r="K63">
        <v>16.3</v>
      </c>
      <c r="L63">
        <v>194.5</v>
      </c>
      <c r="M63">
        <v>383.2</v>
      </c>
      <c r="N63">
        <v>202.8</v>
      </c>
      <c r="O63">
        <v>362</v>
      </c>
      <c r="R63">
        <f t="shared" si="0"/>
        <v>1828.2999999999997</v>
      </c>
    </row>
    <row r="64" spans="3:18" x14ac:dyDescent="0.3">
      <c r="C64">
        <v>2009</v>
      </c>
      <c r="D64">
        <v>124.3</v>
      </c>
      <c r="E64">
        <v>54.1</v>
      </c>
      <c r="F64">
        <v>37.200000000000003</v>
      </c>
      <c r="G64">
        <v>98.1</v>
      </c>
      <c r="H64">
        <v>27.6</v>
      </c>
      <c r="I64">
        <v>32.299999999999997</v>
      </c>
      <c r="J64">
        <v>7.4</v>
      </c>
      <c r="K64">
        <v>219.2</v>
      </c>
      <c r="L64">
        <v>234</v>
      </c>
      <c r="M64">
        <v>190.9</v>
      </c>
      <c r="N64">
        <v>172.4</v>
      </c>
      <c r="O64">
        <v>241.3</v>
      </c>
      <c r="R64">
        <f t="shared" si="0"/>
        <v>1438.8000000000002</v>
      </c>
    </row>
    <row r="65" spans="3:18" x14ac:dyDescent="0.3">
      <c r="C65">
        <v>2010</v>
      </c>
      <c r="D65">
        <v>72.7</v>
      </c>
      <c r="E65">
        <v>105.3</v>
      </c>
      <c r="F65">
        <v>98.5</v>
      </c>
      <c r="G65">
        <v>127.6</v>
      </c>
      <c r="H65">
        <v>18.3</v>
      </c>
      <c r="I65">
        <v>2.2999999999999998</v>
      </c>
      <c r="J65">
        <v>49</v>
      </c>
      <c r="K65">
        <v>151</v>
      </c>
      <c r="L65">
        <v>229.2</v>
      </c>
      <c r="M65">
        <v>344.2</v>
      </c>
      <c r="N65">
        <v>124.9</v>
      </c>
      <c r="O65">
        <v>13.1</v>
      </c>
      <c r="R65">
        <f t="shared" si="0"/>
        <v>1336.1000000000001</v>
      </c>
    </row>
    <row r="66" spans="3:18" x14ac:dyDescent="0.3">
      <c r="C66">
        <v>2011</v>
      </c>
      <c r="D66">
        <v>356.9</v>
      </c>
      <c r="E66">
        <v>236.8</v>
      </c>
      <c r="F66">
        <v>133.9</v>
      </c>
      <c r="G66">
        <v>47</v>
      </c>
      <c r="H66">
        <v>24.9</v>
      </c>
      <c r="I66">
        <v>90.9</v>
      </c>
      <c r="J66">
        <v>1.4</v>
      </c>
      <c r="K66">
        <v>544.1</v>
      </c>
      <c r="L66">
        <v>346.6</v>
      </c>
      <c r="M66">
        <v>425</v>
      </c>
      <c r="N66">
        <v>621.4</v>
      </c>
      <c r="O66">
        <v>85.2</v>
      </c>
      <c r="R66">
        <f t="shared" si="0"/>
        <v>2914.1</v>
      </c>
    </row>
    <row r="67" spans="3:18" x14ac:dyDescent="0.3">
      <c r="C67">
        <v>2012</v>
      </c>
      <c r="D67">
        <v>105.1</v>
      </c>
      <c r="E67">
        <v>109.7</v>
      </c>
      <c r="F67">
        <v>122.6</v>
      </c>
      <c r="G67">
        <v>16</v>
      </c>
      <c r="H67">
        <v>11.1</v>
      </c>
      <c r="I67">
        <v>161.6</v>
      </c>
      <c r="J67">
        <v>137.4</v>
      </c>
      <c r="K67">
        <v>186.7</v>
      </c>
      <c r="L67">
        <v>268</v>
      </c>
      <c r="M67">
        <v>52.9</v>
      </c>
      <c r="N67">
        <v>459.4</v>
      </c>
      <c r="O67">
        <v>296.2</v>
      </c>
      <c r="R67">
        <f t="shared" si="0"/>
        <v>1926.7</v>
      </c>
    </row>
    <row r="68" spans="3:18" x14ac:dyDescent="0.3">
      <c r="C68">
        <v>2013</v>
      </c>
      <c r="D68">
        <v>84.5</v>
      </c>
      <c r="E68">
        <v>63.3</v>
      </c>
      <c r="F68">
        <v>119.2</v>
      </c>
      <c r="G68">
        <v>20.2</v>
      </c>
      <c r="H68">
        <v>21.3</v>
      </c>
      <c r="I68">
        <v>13.1</v>
      </c>
      <c r="J68">
        <v>118</v>
      </c>
      <c r="K68">
        <v>58.6</v>
      </c>
      <c r="L68">
        <v>130.1</v>
      </c>
      <c r="M68">
        <v>389.5</v>
      </c>
      <c r="N68">
        <v>452.2</v>
      </c>
      <c r="O68">
        <v>139</v>
      </c>
      <c r="R68">
        <f t="shared" si="0"/>
        <v>1609</v>
      </c>
    </row>
    <row r="69" spans="3:18" x14ac:dyDescent="0.3">
      <c r="C69">
        <v>2014</v>
      </c>
      <c r="D69">
        <v>180.3</v>
      </c>
      <c r="E69">
        <v>124.3</v>
      </c>
      <c r="F69">
        <v>120.4</v>
      </c>
      <c r="G69">
        <v>10.7</v>
      </c>
      <c r="H69">
        <v>19.100000000000001</v>
      </c>
      <c r="I69">
        <v>29.5</v>
      </c>
      <c r="J69">
        <v>17.7</v>
      </c>
      <c r="K69">
        <v>74</v>
      </c>
      <c r="L69">
        <v>124.5</v>
      </c>
      <c r="M69">
        <v>460.7</v>
      </c>
      <c r="N69">
        <v>299.10000000000002</v>
      </c>
      <c r="O69">
        <v>108.3</v>
      </c>
      <c r="R69">
        <f t="shared" si="0"/>
        <v>1568.6000000000001</v>
      </c>
    </row>
    <row r="70" spans="3:18" x14ac:dyDescent="0.3">
      <c r="C70">
        <v>2015</v>
      </c>
      <c r="D70">
        <v>201</v>
      </c>
      <c r="E70">
        <v>172.1</v>
      </c>
      <c r="F70">
        <v>114.6</v>
      </c>
      <c r="G70">
        <v>90.4</v>
      </c>
      <c r="H70">
        <v>14.8</v>
      </c>
      <c r="I70">
        <v>0</v>
      </c>
      <c r="J70">
        <v>69.900000000000006</v>
      </c>
      <c r="K70">
        <v>140.19999999999999</v>
      </c>
      <c r="L70">
        <v>54.7</v>
      </c>
      <c r="M70">
        <v>507.2</v>
      </c>
      <c r="N70">
        <v>241.9</v>
      </c>
      <c r="O70">
        <v>165.1</v>
      </c>
      <c r="R70">
        <f t="shared" si="0"/>
        <v>1771.9</v>
      </c>
    </row>
    <row r="71" spans="3:18" x14ac:dyDescent="0.3">
      <c r="C71">
        <v>2016</v>
      </c>
      <c r="D71">
        <v>105.5</v>
      </c>
      <c r="E71">
        <v>125.7</v>
      </c>
      <c r="F71">
        <v>90.3</v>
      </c>
      <c r="G71">
        <v>74.2</v>
      </c>
      <c r="H71">
        <v>9.5</v>
      </c>
      <c r="I71">
        <v>59.9</v>
      </c>
      <c r="J71">
        <v>184.9</v>
      </c>
      <c r="K71">
        <v>3</v>
      </c>
      <c r="L71">
        <v>405.7</v>
      </c>
      <c r="M71">
        <v>485.4</v>
      </c>
      <c r="N71">
        <v>377.8</v>
      </c>
      <c r="O71">
        <v>225.8</v>
      </c>
      <c r="R71">
        <f t="shared" ref="R71:R79" si="1">SUM(D71:O71)</f>
        <v>2147.6999999999998</v>
      </c>
    </row>
    <row r="72" spans="3:18" x14ac:dyDescent="0.3">
      <c r="C72">
        <v>2017</v>
      </c>
      <c r="D72">
        <v>116.3</v>
      </c>
      <c r="E72">
        <v>184.8</v>
      </c>
      <c r="F72">
        <v>79.599999999999994</v>
      </c>
      <c r="G72">
        <v>48.7</v>
      </c>
      <c r="H72">
        <v>6.4</v>
      </c>
      <c r="I72">
        <v>52.8</v>
      </c>
      <c r="J72">
        <v>1.1000000000000001</v>
      </c>
      <c r="K72">
        <v>0.7</v>
      </c>
      <c r="L72">
        <v>358.8</v>
      </c>
      <c r="M72">
        <v>522.20000000000005</v>
      </c>
      <c r="N72">
        <v>165.6</v>
      </c>
      <c r="O72">
        <v>72.2</v>
      </c>
      <c r="R72">
        <f t="shared" si="1"/>
        <v>1609.2</v>
      </c>
    </row>
    <row r="73" spans="3:18" x14ac:dyDescent="0.3">
      <c r="C73">
        <v>2018</v>
      </c>
      <c r="D73">
        <v>163.34</v>
      </c>
      <c r="E73">
        <v>42.41</v>
      </c>
      <c r="F73">
        <v>25.38</v>
      </c>
      <c r="G73">
        <v>24.39</v>
      </c>
      <c r="H73">
        <v>15.25</v>
      </c>
      <c r="I73">
        <v>17.52</v>
      </c>
      <c r="J73">
        <v>81.540000000000006</v>
      </c>
      <c r="K73">
        <v>204.48</v>
      </c>
      <c r="L73">
        <v>198.12</v>
      </c>
      <c r="M73">
        <v>206.49</v>
      </c>
      <c r="N73">
        <v>414.79</v>
      </c>
      <c r="O73">
        <v>142.75</v>
      </c>
      <c r="R73">
        <f t="shared" si="1"/>
        <v>1536.46</v>
      </c>
    </row>
    <row r="74" spans="3:18" x14ac:dyDescent="0.3">
      <c r="C74">
        <v>2019</v>
      </c>
      <c r="D74">
        <v>86.87</v>
      </c>
      <c r="E74">
        <v>196.59</v>
      </c>
      <c r="F74">
        <v>146.59</v>
      </c>
      <c r="G74">
        <v>181.36</v>
      </c>
      <c r="H74">
        <v>31.24</v>
      </c>
      <c r="I74">
        <v>1.77</v>
      </c>
      <c r="J74">
        <v>161.54</v>
      </c>
      <c r="K74" s="1">
        <v>112.79</v>
      </c>
      <c r="L74">
        <v>323.08</v>
      </c>
      <c r="M74">
        <v>114.55</v>
      </c>
      <c r="N74">
        <v>360.92</v>
      </c>
      <c r="O74">
        <v>243.85</v>
      </c>
      <c r="R74">
        <f t="shared" si="1"/>
        <v>1961.1499999999999</v>
      </c>
    </row>
    <row r="75" spans="3:18" x14ac:dyDescent="0.3">
      <c r="C75">
        <v>2020</v>
      </c>
      <c r="D75">
        <v>122.17</v>
      </c>
      <c r="E75">
        <v>99.32</v>
      </c>
      <c r="F75">
        <v>68.319999999999993</v>
      </c>
      <c r="G75">
        <v>121.41</v>
      </c>
      <c r="H75">
        <v>19.55</v>
      </c>
      <c r="I75">
        <v>1.27</v>
      </c>
      <c r="J75">
        <v>31.5</v>
      </c>
      <c r="K75" s="1">
        <v>357.11</v>
      </c>
      <c r="L75">
        <v>82.04</v>
      </c>
      <c r="M75">
        <v>246.38</v>
      </c>
      <c r="N75">
        <v>349.24</v>
      </c>
      <c r="O75">
        <v>148.34</v>
      </c>
      <c r="R75">
        <f t="shared" si="1"/>
        <v>1646.65</v>
      </c>
    </row>
    <row r="76" spans="3:18" x14ac:dyDescent="0.3">
      <c r="C76">
        <v>2021</v>
      </c>
      <c r="D76">
        <v>62.99</v>
      </c>
      <c r="E76">
        <v>71.38</v>
      </c>
      <c r="F76">
        <v>65.53</v>
      </c>
      <c r="G76">
        <v>9.65</v>
      </c>
      <c r="H76">
        <v>34.020000000000003</v>
      </c>
      <c r="I76">
        <v>7.62</v>
      </c>
      <c r="J76">
        <v>132.35</v>
      </c>
      <c r="K76" s="1">
        <v>5.52</v>
      </c>
      <c r="L76">
        <v>231.89</v>
      </c>
      <c r="M76">
        <v>549.91</v>
      </c>
      <c r="N76">
        <v>125.98</v>
      </c>
      <c r="O76">
        <v>33.020000000000003</v>
      </c>
      <c r="R76">
        <f t="shared" si="1"/>
        <v>1329.8600000000001</v>
      </c>
    </row>
    <row r="77" spans="3:18" x14ac:dyDescent="0.3">
      <c r="C77">
        <v>2022</v>
      </c>
      <c r="D77">
        <v>126.74</v>
      </c>
      <c r="E77">
        <v>76.45</v>
      </c>
      <c r="F77">
        <v>136.38</v>
      </c>
      <c r="G77">
        <v>17.77</v>
      </c>
      <c r="H77">
        <v>61.22</v>
      </c>
      <c r="I77">
        <v>0</v>
      </c>
      <c r="J77">
        <v>36.07</v>
      </c>
      <c r="K77" s="1">
        <v>17.79</v>
      </c>
      <c r="L77">
        <v>315.74</v>
      </c>
      <c r="M77">
        <v>110.47</v>
      </c>
      <c r="N77">
        <v>155.94999999999999</v>
      </c>
      <c r="O77">
        <v>308.33</v>
      </c>
      <c r="R77">
        <f t="shared" si="1"/>
        <v>1362.9099999999999</v>
      </c>
    </row>
    <row r="78" spans="3:18" x14ac:dyDescent="0.3">
      <c r="C78">
        <v>2023</v>
      </c>
      <c r="D78">
        <v>230.63</v>
      </c>
      <c r="E78">
        <v>214.63</v>
      </c>
      <c r="F78">
        <v>96.52</v>
      </c>
      <c r="G78">
        <v>21.08</v>
      </c>
      <c r="H78">
        <v>137.41999999999999</v>
      </c>
      <c r="I78">
        <v>15.24</v>
      </c>
      <c r="J78">
        <v>265.67</v>
      </c>
      <c r="K78" s="1">
        <v>128.69999999999999</v>
      </c>
      <c r="L78">
        <v>339.09</v>
      </c>
      <c r="M78">
        <v>315.99</v>
      </c>
      <c r="N78">
        <v>146.31</v>
      </c>
      <c r="O78">
        <v>114.56</v>
      </c>
      <c r="R78">
        <f t="shared" si="1"/>
        <v>2025.84</v>
      </c>
    </row>
    <row r="79" spans="3:18" x14ac:dyDescent="0.3">
      <c r="C79">
        <v>2024</v>
      </c>
      <c r="D79">
        <v>279.39999999999998</v>
      </c>
      <c r="E79">
        <v>170.43</v>
      </c>
      <c r="F79">
        <v>57.4</v>
      </c>
      <c r="G79">
        <v>24.63</v>
      </c>
      <c r="H79">
        <v>158.75</v>
      </c>
      <c r="I79">
        <v>140.19</v>
      </c>
      <c r="J79">
        <v>138.94999999999999</v>
      </c>
      <c r="K79">
        <v>17.27</v>
      </c>
      <c r="L79">
        <v>206.7</v>
      </c>
      <c r="M79">
        <v>401.83</v>
      </c>
      <c r="N79">
        <v>278.64999999999998</v>
      </c>
      <c r="O79">
        <v>87.63</v>
      </c>
      <c r="R79">
        <f t="shared" si="1"/>
        <v>1961.83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Q42"/>
  <sheetViews>
    <sheetView topLeftCell="B19" workbookViewId="0">
      <selection activeCell="D31" sqref="D31:O40"/>
    </sheetView>
  </sheetViews>
  <sheetFormatPr defaultRowHeight="14.4" x14ac:dyDescent="0.3"/>
  <sheetData>
    <row r="4" spans="3:17" x14ac:dyDescent="0.3">
      <c r="C4" t="s">
        <v>0</v>
      </c>
    </row>
    <row r="5" spans="3:17" x14ac:dyDescent="0.3"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39</v>
      </c>
    </row>
    <row r="6" spans="3:17" x14ac:dyDescent="0.3">
      <c r="C6">
        <v>1990</v>
      </c>
      <c r="D6">
        <v>124.404</v>
      </c>
      <c r="E6">
        <v>112.39099999999985</v>
      </c>
      <c r="F6">
        <v>111.72399999999993</v>
      </c>
      <c r="G6">
        <v>64.446000000000026</v>
      </c>
      <c r="H6">
        <v>70.688999999999396</v>
      </c>
      <c r="I6">
        <v>63.440999999999804</v>
      </c>
      <c r="J6">
        <v>47.438999999999993</v>
      </c>
      <c r="K6">
        <v>59.276000000000067</v>
      </c>
      <c r="L6">
        <v>185.95700000000033</v>
      </c>
      <c r="M6">
        <v>367.71000000000009</v>
      </c>
      <c r="N6">
        <v>84.7</v>
      </c>
      <c r="O6">
        <v>249.02</v>
      </c>
      <c r="Q6">
        <f>SUM(D6:O6)</f>
        <v>1541.1969999999994</v>
      </c>
    </row>
    <row r="7" spans="3:17" x14ac:dyDescent="0.3">
      <c r="C7">
        <v>1991</v>
      </c>
      <c r="D7">
        <v>80.650000000000006</v>
      </c>
      <c r="E7">
        <v>167.7</v>
      </c>
      <c r="F7">
        <v>185.92</v>
      </c>
      <c r="G7">
        <v>8.64</v>
      </c>
      <c r="H7">
        <v>52.92</v>
      </c>
      <c r="I7">
        <v>0.61</v>
      </c>
      <c r="J7">
        <v>84.8</v>
      </c>
      <c r="K7">
        <v>15.53</v>
      </c>
      <c r="L7">
        <v>78.23</v>
      </c>
      <c r="M7">
        <v>66.73</v>
      </c>
      <c r="N7">
        <v>283.14</v>
      </c>
      <c r="O7">
        <v>194.15999999999997</v>
      </c>
      <c r="Q7">
        <f t="shared" ref="Q7:Q40" si="0">SUM(D7:O7)</f>
        <v>1219.0299999999997</v>
      </c>
    </row>
    <row r="8" spans="3:17" x14ac:dyDescent="0.3">
      <c r="C8">
        <v>1992</v>
      </c>
      <c r="D8">
        <v>226.23</v>
      </c>
      <c r="E8">
        <v>139.14000000000001</v>
      </c>
      <c r="F8">
        <v>129.92000000000002</v>
      </c>
      <c r="G8">
        <v>186.82000000000002</v>
      </c>
      <c r="H8">
        <v>111.05000000000001</v>
      </c>
      <c r="I8">
        <v>30.140000000000004</v>
      </c>
      <c r="J8">
        <v>155.81</v>
      </c>
      <c r="K8">
        <v>134.5</v>
      </c>
      <c r="L8">
        <v>199.89999999999998</v>
      </c>
      <c r="M8">
        <v>176.81000000000003</v>
      </c>
      <c r="N8">
        <v>123.75</v>
      </c>
      <c r="O8">
        <v>162.11999999999998</v>
      </c>
      <c r="Q8">
        <f t="shared" si="0"/>
        <v>1776.19</v>
      </c>
    </row>
    <row r="9" spans="3:17" x14ac:dyDescent="0.3">
      <c r="C9">
        <v>1993</v>
      </c>
      <c r="D9">
        <v>183.63</v>
      </c>
      <c r="E9">
        <v>188.32999999999998</v>
      </c>
      <c r="F9">
        <v>70.06</v>
      </c>
      <c r="G9">
        <v>57.55</v>
      </c>
      <c r="H9">
        <v>42.56</v>
      </c>
      <c r="I9">
        <v>112.92</v>
      </c>
      <c r="J9">
        <v>36.430000000000007</v>
      </c>
      <c r="K9">
        <v>97.330000000000013</v>
      </c>
      <c r="L9">
        <v>210.83</v>
      </c>
      <c r="M9">
        <v>184.21</v>
      </c>
      <c r="N9">
        <v>601.41000000000008</v>
      </c>
      <c r="O9">
        <v>110.06</v>
      </c>
      <c r="Q9">
        <f t="shared" si="0"/>
        <v>1895.3200000000002</v>
      </c>
    </row>
    <row r="10" spans="3:17" x14ac:dyDescent="0.3">
      <c r="C10">
        <v>1994</v>
      </c>
      <c r="D10">
        <v>101.33</v>
      </c>
      <c r="E10">
        <v>118.52999999999997</v>
      </c>
      <c r="F10">
        <v>74.909999999999982</v>
      </c>
      <c r="G10">
        <v>26.83</v>
      </c>
      <c r="H10">
        <v>84.429999999999993</v>
      </c>
      <c r="I10">
        <v>159.72999999999999</v>
      </c>
      <c r="J10">
        <v>5.01</v>
      </c>
      <c r="K10">
        <v>28.22</v>
      </c>
      <c r="L10">
        <v>76.48</v>
      </c>
      <c r="M10">
        <v>342.94</v>
      </c>
      <c r="N10">
        <v>302.73999999999995</v>
      </c>
      <c r="O10">
        <v>125.26000000000002</v>
      </c>
      <c r="Q10">
        <f t="shared" si="0"/>
        <v>1446.4099999999999</v>
      </c>
    </row>
    <row r="11" spans="3:17" x14ac:dyDescent="0.3">
      <c r="C11">
        <v>1995</v>
      </c>
      <c r="D11">
        <v>63.55</v>
      </c>
      <c r="E11">
        <v>82.27</v>
      </c>
      <c r="F11">
        <v>42.07</v>
      </c>
      <c r="G11">
        <v>70.41</v>
      </c>
      <c r="H11">
        <v>35.200000000000003</v>
      </c>
      <c r="I11">
        <v>68.410000000000011</v>
      </c>
      <c r="J11">
        <v>15.809999999999999</v>
      </c>
      <c r="K11">
        <v>45.1</v>
      </c>
      <c r="L11">
        <v>225.01</v>
      </c>
      <c r="M11">
        <v>211.79999999999998</v>
      </c>
      <c r="N11">
        <v>16.2</v>
      </c>
      <c r="O11">
        <v>124.72</v>
      </c>
      <c r="Q11">
        <f t="shared" si="0"/>
        <v>1000.55</v>
      </c>
    </row>
    <row r="12" spans="3:17" x14ac:dyDescent="0.3">
      <c r="C12">
        <v>1996</v>
      </c>
      <c r="D12">
        <v>148.13</v>
      </c>
      <c r="E12">
        <v>156.11000000000001</v>
      </c>
      <c r="F12">
        <v>167.03</v>
      </c>
      <c r="G12">
        <v>99.449999999999974</v>
      </c>
      <c r="H12">
        <v>29.82</v>
      </c>
      <c r="I12">
        <v>50.54</v>
      </c>
      <c r="J12">
        <v>10.41</v>
      </c>
      <c r="K12">
        <v>9.52</v>
      </c>
      <c r="L12">
        <v>105.11999999999999</v>
      </c>
      <c r="M12">
        <v>130.32</v>
      </c>
      <c r="N12">
        <v>158.83000000000001</v>
      </c>
      <c r="O12">
        <v>26.85</v>
      </c>
      <c r="Q12">
        <f t="shared" si="0"/>
        <v>1092.1299999999997</v>
      </c>
    </row>
    <row r="13" spans="3:17" x14ac:dyDescent="0.3">
      <c r="C13">
        <v>1997</v>
      </c>
      <c r="D13">
        <v>101.83</v>
      </c>
      <c r="E13">
        <v>81.499999999999986</v>
      </c>
      <c r="F13">
        <v>171.20999999999998</v>
      </c>
      <c r="G13">
        <v>21.82</v>
      </c>
      <c r="H13">
        <v>15.520000000000001</v>
      </c>
      <c r="I13">
        <v>58.320000000000007</v>
      </c>
      <c r="J13">
        <v>122.01</v>
      </c>
      <c r="K13">
        <v>36.319999999999993</v>
      </c>
      <c r="L13">
        <v>342.4</v>
      </c>
      <c r="M13">
        <v>91.1</v>
      </c>
      <c r="N13">
        <v>126.24000000000001</v>
      </c>
      <c r="O13">
        <v>97.74</v>
      </c>
      <c r="Q13">
        <f t="shared" si="0"/>
        <v>1266.01</v>
      </c>
    </row>
    <row r="14" spans="3:17" x14ac:dyDescent="0.3">
      <c r="C14">
        <v>1998</v>
      </c>
      <c r="D14">
        <v>149.87999999999997</v>
      </c>
      <c r="E14">
        <v>175.71999999999997</v>
      </c>
      <c r="F14">
        <v>34.130000000000003</v>
      </c>
      <c r="G14">
        <v>42.25</v>
      </c>
      <c r="H14">
        <v>15.539999999999997</v>
      </c>
      <c r="I14">
        <v>17.22</v>
      </c>
      <c r="J14">
        <v>17.640000000000004</v>
      </c>
      <c r="K14">
        <v>115.52</v>
      </c>
      <c r="L14">
        <v>192.83</v>
      </c>
      <c r="M14">
        <v>172.82999999999998</v>
      </c>
      <c r="N14">
        <v>110.66</v>
      </c>
      <c r="O14">
        <v>122.72999999999996</v>
      </c>
      <c r="Q14">
        <f t="shared" si="0"/>
        <v>1166.95</v>
      </c>
    </row>
    <row r="15" spans="3:17" x14ac:dyDescent="0.3">
      <c r="C15">
        <v>1999</v>
      </c>
      <c r="D15">
        <v>112.69999999999999</v>
      </c>
      <c r="E15">
        <v>11.41</v>
      </c>
      <c r="F15">
        <v>66.23</v>
      </c>
      <c r="G15">
        <v>68.739999999999995</v>
      </c>
      <c r="H15">
        <v>72.84</v>
      </c>
      <c r="I15">
        <v>6.8299999999999992</v>
      </c>
      <c r="J15">
        <v>50.11999999999999</v>
      </c>
      <c r="K15">
        <v>77.8</v>
      </c>
      <c r="L15">
        <v>225.32</v>
      </c>
      <c r="M15">
        <v>187.02</v>
      </c>
      <c r="N15">
        <v>181.53</v>
      </c>
      <c r="O15">
        <v>87.9</v>
      </c>
      <c r="Q15">
        <f t="shared" si="0"/>
        <v>1148.44</v>
      </c>
    </row>
    <row r="16" spans="3:17" x14ac:dyDescent="0.3">
      <c r="C16">
        <v>2000</v>
      </c>
      <c r="D16">
        <v>138.83999999999997</v>
      </c>
      <c r="E16">
        <v>130.13</v>
      </c>
      <c r="F16">
        <v>150.71</v>
      </c>
      <c r="G16">
        <v>9.32</v>
      </c>
      <c r="H16">
        <v>40.619999999999997</v>
      </c>
      <c r="I16">
        <v>19.510000000000002</v>
      </c>
      <c r="J16">
        <v>1.01</v>
      </c>
      <c r="K16">
        <v>74.72</v>
      </c>
      <c r="L16">
        <v>183.54</v>
      </c>
      <c r="M16">
        <v>283.24</v>
      </c>
      <c r="N16">
        <v>237.71999999999997</v>
      </c>
      <c r="O16">
        <v>169.14999999999998</v>
      </c>
      <c r="Q16">
        <f t="shared" si="0"/>
        <v>1438.5099999999998</v>
      </c>
    </row>
    <row r="17" spans="3:17" x14ac:dyDescent="0.3">
      <c r="C17">
        <v>2001</v>
      </c>
      <c r="D17">
        <v>226.51000000000002</v>
      </c>
      <c r="E17">
        <v>27.139999999999997</v>
      </c>
      <c r="F17">
        <v>75.53</v>
      </c>
      <c r="G17">
        <v>25.32</v>
      </c>
      <c r="H17">
        <v>112.44000000000001</v>
      </c>
      <c r="I17">
        <v>8.91</v>
      </c>
      <c r="J17">
        <v>26.7</v>
      </c>
      <c r="K17">
        <v>87.820000000000007</v>
      </c>
      <c r="L17">
        <v>132.70999999999998</v>
      </c>
      <c r="M17">
        <v>334.21999999999997</v>
      </c>
      <c r="N17">
        <v>185.72000000000003</v>
      </c>
      <c r="O17">
        <v>96.02</v>
      </c>
      <c r="Q17">
        <f t="shared" si="0"/>
        <v>1339.04</v>
      </c>
    </row>
    <row r="18" spans="3:17" x14ac:dyDescent="0.3">
      <c r="C18">
        <v>2002</v>
      </c>
      <c r="D18">
        <v>52.019999999999996</v>
      </c>
      <c r="E18">
        <v>48.8</v>
      </c>
      <c r="F18">
        <v>110.47999999999999</v>
      </c>
      <c r="G18">
        <v>122.02000000000001</v>
      </c>
      <c r="H18">
        <v>82.32</v>
      </c>
      <c r="I18">
        <v>1.7199999999999998</v>
      </c>
      <c r="J18">
        <v>17.32</v>
      </c>
      <c r="K18">
        <v>119.03</v>
      </c>
      <c r="L18">
        <v>54.100000000000009</v>
      </c>
      <c r="M18">
        <v>97.56</v>
      </c>
      <c r="N18">
        <v>156.54</v>
      </c>
      <c r="O18">
        <v>294.20999999999998</v>
      </c>
      <c r="Q18">
        <f t="shared" si="0"/>
        <v>1156.1200000000001</v>
      </c>
    </row>
    <row r="19" spans="3:17" x14ac:dyDescent="0.3">
      <c r="C19">
        <v>2003</v>
      </c>
      <c r="D19">
        <v>73.040000000000006</v>
      </c>
      <c r="E19">
        <v>145.06999999999996</v>
      </c>
      <c r="F19">
        <v>146.99</v>
      </c>
      <c r="G19">
        <v>136</v>
      </c>
      <c r="H19">
        <v>75.33</v>
      </c>
      <c r="I19">
        <v>74.94</v>
      </c>
      <c r="J19">
        <v>26.97</v>
      </c>
      <c r="K19">
        <v>32.529999999999994</v>
      </c>
      <c r="L19">
        <v>273.94000000000005</v>
      </c>
      <c r="M19">
        <v>60.36</v>
      </c>
      <c r="N19">
        <v>200.24</v>
      </c>
      <c r="O19">
        <v>201.23</v>
      </c>
      <c r="Q19">
        <f t="shared" si="0"/>
        <v>1446.6399999999999</v>
      </c>
    </row>
    <row r="20" spans="3:17" x14ac:dyDescent="0.3">
      <c r="C20">
        <v>2004</v>
      </c>
      <c r="D20">
        <v>69.240000000000009</v>
      </c>
      <c r="E20">
        <v>26.290000000000003</v>
      </c>
      <c r="F20">
        <v>187.23000000000002</v>
      </c>
      <c r="G20">
        <v>166.15999999999997</v>
      </c>
      <c r="H20">
        <v>72.02</v>
      </c>
      <c r="I20">
        <v>99.14</v>
      </c>
      <c r="J20">
        <v>120.44</v>
      </c>
      <c r="K20">
        <v>59.22</v>
      </c>
      <c r="L20">
        <v>165.32</v>
      </c>
      <c r="M20">
        <v>156.20000000000002</v>
      </c>
      <c r="N20">
        <v>207.72</v>
      </c>
      <c r="O20">
        <v>287.82000000000005</v>
      </c>
      <c r="Q20">
        <f t="shared" si="0"/>
        <v>1616.8000000000002</v>
      </c>
    </row>
    <row r="21" spans="3:17" x14ac:dyDescent="0.3">
      <c r="C21">
        <v>2005</v>
      </c>
      <c r="D21">
        <v>88.75</v>
      </c>
      <c r="E21">
        <v>415.94</v>
      </c>
      <c r="F21">
        <v>90.690000000000012</v>
      </c>
      <c r="G21">
        <v>31.250000000000004</v>
      </c>
      <c r="H21">
        <v>45.279999999999994</v>
      </c>
      <c r="I21">
        <v>79.72999999999999</v>
      </c>
      <c r="J21">
        <v>1.22</v>
      </c>
      <c r="K21">
        <v>86.18</v>
      </c>
      <c r="L21">
        <v>124.94000000000001</v>
      </c>
      <c r="M21">
        <v>194.58999999999997</v>
      </c>
      <c r="N21">
        <v>249.2</v>
      </c>
      <c r="O21">
        <v>49.760000000000005</v>
      </c>
      <c r="Q21">
        <f t="shared" si="0"/>
        <v>1457.53</v>
      </c>
    </row>
    <row r="22" spans="3:17" x14ac:dyDescent="0.3">
      <c r="C22">
        <v>2006</v>
      </c>
      <c r="D22">
        <v>157.65999999999997</v>
      </c>
      <c r="E22">
        <v>34.4</v>
      </c>
      <c r="F22">
        <v>17.23</v>
      </c>
      <c r="G22">
        <v>74.789999999999992</v>
      </c>
      <c r="H22">
        <v>26.769999999999996</v>
      </c>
      <c r="I22">
        <v>3.31</v>
      </c>
      <c r="J22">
        <v>55.53</v>
      </c>
      <c r="K22">
        <v>0</v>
      </c>
      <c r="L22">
        <v>196.74</v>
      </c>
      <c r="M22">
        <v>184.68</v>
      </c>
      <c r="N22">
        <v>320.64999999999998</v>
      </c>
      <c r="O22">
        <v>368.21</v>
      </c>
      <c r="Q22">
        <f t="shared" si="0"/>
        <v>1439.9699999999998</v>
      </c>
    </row>
    <row r="23" spans="3:17" x14ac:dyDescent="0.3">
      <c r="C23">
        <v>2007</v>
      </c>
      <c r="D23">
        <v>33.409999999999997</v>
      </c>
      <c r="E23">
        <v>140.73000000000002</v>
      </c>
      <c r="F23">
        <v>158.34</v>
      </c>
      <c r="G23">
        <v>121.65000000000002</v>
      </c>
      <c r="H23">
        <v>11.78</v>
      </c>
      <c r="I23">
        <v>33.480000000000004</v>
      </c>
      <c r="J23">
        <v>72.54000000000002</v>
      </c>
      <c r="K23">
        <v>15.85</v>
      </c>
      <c r="L23">
        <v>65.67</v>
      </c>
      <c r="M23">
        <v>83.07</v>
      </c>
      <c r="N23">
        <v>209.79999999999998</v>
      </c>
      <c r="O23">
        <v>104.66000000000003</v>
      </c>
      <c r="Q23">
        <f t="shared" si="0"/>
        <v>1050.98</v>
      </c>
    </row>
    <row r="24" spans="3:17" x14ac:dyDescent="0.3">
      <c r="C24">
        <v>2008</v>
      </c>
      <c r="D24">
        <v>252.50999999999996</v>
      </c>
      <c r="E24">
        <v>83.28</v>
      </c>
      <c r="F24">
        <v>8.129999999999999</v>
      </c>
      <c r="G24">
        <v>1.84</v>
      </c>
      <c r="H24">
        <v>21.46</v>
      </c>
      <c r="I24">
        <v>50.339999999999996</v>
      </c>
      <c r="J24">
        <v>89.56</v>
      </c>
      <c r="K24">
        <v>29.22</v>
      </c>
      <c r="L24">
        <v>82.59</v>
      </c>
      <c r="M24">
        <v>203.73</v>
      </c>
      <c r="N24">
        <v>205.14000000000001</v>
      </c>
      <c r="O24">
        <v>261.86000000000007</v>
      </c>
      <c r="Q24">
        <f t="shared" si="0"/>
        <v>1289.6600000000001</v>
      </c>
    </row>
    <row r="25" spans="3:17" x14ac:dyDescent="0.3">
      <c r="C25">
        <v>2009</v>
      </c>
      <c r="D25">
        <v>79.59</v>
      </c>
      <c r="E25">
        <v>44.15</v>
      </c>
      <c r="F25">
        <v>26.66</v>
      </c>
      <c r="G25">
        <v>94.47999999999999</v>
      </c>
      <c r="H25">
        <v>24.020000000000007</v>
      </c>
      <c r="I25">
        <v>30.950000000000003</v>
      </c>
      <c r="J25">
        <v>4.53</v>
      </c>
      <c r="K25">
        <v>98.47</v>
      </c>
      <c r="L25">
        <v>136.45000000000002</v>
      </c>
      <c r="M25">
        <v>171.50999999999996</v>
      </c>
      <c r="N25">
        <v>144.5</v>
      </c>
      <c r="O25">
        <v>140.29000000000002</v>
      </c>
      <c r="Q25">
        <f t="shared" si="0"/>
        <v>995.59999999999991</v>
      </c>
    </row>
    <row r="26" spans="3:17" x14ac:dyDescent="0.3">
      <c r="C26">
        <v>2010</v>
      </c>
      <c r="D26">
        <v>75.64</v>
      </c>
      <c r="E26">
        <v>90.51</v>
      </c>
      <c r="F26">
        <v>121.42000000000002</v>
      </c>
      <c r="G26">
        <v>96.699999999999974</v>
      </c>
      <c r="H26">
        <v>33.279999999999994</v>
      </c>
      <c r="I26">
        <v>11.25</v>
      </c>
      <c r="J26">
        <v>1.53</v>
      </c>
      <c r="K26">
        <v>50.019999999999996</v>
      </c>
      <c r="L26">
        <v>33.04</v>
      </c>
      <c r="M26">
        <v>220.39</v>
      </c>
      <c r="N26">
        <v>92.81</v>
      </c>
      <c r="O26">
        <v>4.83</v>
      </c>
      <c r="Q26">
        <f t="shared" si="0"/>
        <v>831.42</v>
      </c>
    </row>
    <row r="27" spans="3:17" x14ac:dyDescent="0.3">
      <c r="C27">
        <v>2011</v>
      </c>
      <c r="D27">
        <v>214.71999999999994</v>
      </c>
      <c r="E27">
        <v>215.84999999999997</v>
      </c>
      <c r="F27">
        <v>121.52999999999999</v>
      </c>
      <c r="G27">
        <v>25.15</v>
      </c>
      <c r="H27">
        <v>19.120000000000008</v>
      </c>
      <c r="I27">
        <v>27.34</v>
      </c>
      <c r="J27">
        <v>2.04</v>
      </c>
      <c r="K27">
        <v>266.37</v>
      </c>
      <c r="L27">
        <v>289.94000000000005</v>
      </c>
      <c r="M27">
        <v>252.44999999999996</v>
      </c>
      <c r="N27">
        <v>337.09999999999997</v>
      </c>
      <c r="O27">
        <v>53.150000000000006</v>
      </c>
      <c r="Q27">
        <f t="shared" si="0"/>
        <v>1824.76</v>
      </c>
    </row>
    <row r="28" spans="3:17" x14ac:dyDescent="0.3">
      <c r="C28">
        <v>2012</v>
      </c>
      <c r="D28">
        <v>89.220000000000013</v>
      </c>
      <c r="E28">
        <v>110.42999999999998</v>
      </c>
      <c r="F28">
        <v>148.01999999999998</v>
      </c>
      <c r="G28">
        <v>18.39</v>
      </c>
      <c r="H28">
        <v>14.579999999999998</v>
      </c>
      <c r="I28">
        <v>77.740000000000009</v>
      </c>
      <c r="J28">
        <v>70.63</v>
      </c>
      <c r="K28">
        <v>108.64000000000001</v>
      </c>
      <c r="L28">
        <v>198.37</v>
      </c>
      <c r="M28">
        <v>44.66</v>
      </c>
      <c r="N28">
        <v>161.75999999999996</v>
      </c>
      <c r="O28">
        <v>182.14000000000001</v>
      </c>
      <c r="Q28">
        <f t="shared" si="0"/>
        <v>1224.58</v>
      </c>
    </row>
    <row r="29" spans="3:17" x14ac:dyDescent="0.3">
      <c r="C29">
        <v>2013</v>
      </c>
      <c r="D29">
        <v>90.13000000000001</v>
      </c>
      <c r="E29">
        <v>49.199999999999996</v>
      </c>
      <c r="F29">
        <v>114.25000000000001</v>
      </c>
      <c r="G29">
        <v>40.369999999999997</v>
      </c>
      <c r="H29">
        <v>18.630000000000003</v>
      </c>
      <c r="I29">
        <v>7.23</v>
      </c>
      <c r="J29">
        <v>64.34</v>
      </c>
      <c r="K29">
        <v>55.089999999999989</v>
      </c>
      <c r="L29">
        <v>108.49999999999997</v>
      </c>
      <c r="M29">
        <v>371.45</v>
      </c>
      <c r="N29">
        <v>251.1</v>
      </c>
      <c r="O29">
        <v>134.54000000000002</v>
      </c>
      <c r="Q29">
        <f t="shared" si="0"/>
        <v>1304.83</v>
      </c>
    </row>
    <row r="30" spans="3:17" x14ac:dyDescent="0.3">
      <c r="C30">
        <v>2014</v>
      </c>
      <c r="D30">
        <v>103.95</v>
      </c>
      <c r="E30">
        <v>75.340000000000018</v>
      </c>
      <c r="F30">
        <v>99.86</v>
      </c>
      <c r="G30">
        <v>12</v>
      </c>
      <c r="H30">
        <v>10.9</v>
      </c>
      <c r="I30">
        <v>3.1500000000000004</v>
      </c>
      <c r="J30">
        <v>10.15</v>
      </c>
      <c r="K30">
        <v>15.61</v>
      </c>
      <c r="L30">
        <v>54.34</v>
      </c>
      <c r="M30">
        <v>370.23999999999995</v>
      </c>
      <c r="N30">
        <v>275.76000000000005</v>
      </c>
      <c r="O30">
        <v>88.65</v>
      </c>
      <c r="Q30">
        <f t="shared" si="0"/>
        <v>1119.95</v>
      </c>
    </row>
    <row r="31" spans="3:17" x14ac:dyDescent="0.3">
      <c r="C31">
        <v>2015</v>
      </c>
      <c r="D31">
        <v>156.99999999999994</v>
      </c>
      <c r="E31">
        <v>187.68999999999997</v>
      </c>
      <c r="F31">
        <v>103.13999999999999</v>
      </c>
      <c r="G31">
        <v>118.55999999999999</v>
      </c>
      <c r="H31">
        <v>6.3999999999999986</v>
      </c>
      <c r="I31">
        <v>0.01</v>
      </c>
      <c r="J31">
        <v>80.929999999999993</v>
      </c>
      <c r="K31">
        <v>89.37</v>
      </c>
      <c r="L31">
        <v>69.33</v>
      </c>
      <c r="M31">
        <v>331.70999999999992</v>
      </c>
      <c r="N31">
        <v>159.82</v>
      </c>
      <c r="O31">
        <v>134.46</v>
      </c>
      <c r="Q31">
        <f t="shared" si="0"/>
        <v>1438.4199999999998</v>
      </c>
    </row>
    <row r="32" spans="3:17" x14ac:dyDescent="0.3">
      <c r="C32">
        <v>2016</v>
      </c>
      <c r="D32">
        <v>121.92</v>
      </c>
      <c r="E32">
        <v>118.94</v>
      </c>
      <c r="F32">
        <v>93.69</v>
      </c>
      <c r="G32">
        <v>55.470000000000006</v>
      </c>
      <c r="H32">
        <v>11.07</v>
      </c>
      <c r="I32">
        <v>36.039999999999992</v>
      </c>
      <c r="J32">
        <v>154.42000000000002</v>
      </c>
      <c r="K32">
        <v>0</v>
      </c>
      <c r="L32">
        <v>234.64999999999995</v>
      </c>
      <c r="M32">
        <v>260.59999999999997</v>
      </c>
      <c r="N32">
        <v>178.96</v>
      </c>
      <c r="O32">
        <v>160.30000000000001</v>
      </c>
      <c r="Q32">
        <f t="shared" si="0"/>
        <v>1426.06</v>
      </c>
    </row>
    <row r="33" spans="3:17" x14ac:dyDescent="0.3">
      <c r="C33">
        <v>2017</v>
      </c>
      <c r="D33">
        <v>88.259999999999991</v>
      </c>
      <c r="E33">
        <v>220.02999999999997</v>
      </c>
      <c r="F33">
        <v>72.640000000000015</v>
      </c>
      <c r="G33">
        <v>59.539999999999978</v>
      </c>
      <c r="H33">
        <v>7.5399999999999991</v>
      </c>
      <c r="I33">
        <v>33.630000000000003</v>
      </c>
      <c r="J33">
        <v>5.0299999999999994</v>
      </c>
      <c r="K33">
        <v>0.03</v>
      </c>
      <c r="L33">
        <v>211.06</v>
      </c>
      <c r="M33">
        <v>144.24</v>
      </c>
      <c r="N33">
        <v>47.849999999999994</v>
      </c>
      <c r="O33">
        <v>42.4</v>
      </c>
      <c r="Q33">
        <f t="shared" si="0"/>
        <v>932.24999999999989</v>
      </c>
    </row>
    <row r="34" spans="3:17" x14ac:dyDescent="0.3">
      <c r="C34">
        <v>2018</v>
      </c>
      <c r="D34" s="1">
        <v>199.77999999999997</v>
      </c>
      <c r="E34" s="1">
        <v>62.43</v>
      </c>
      <c r="F34" s="1">
        <v>24.96</v>
      </c>
      <c r="G34" s="1">
        <v>27.98</v>
      </c>
      <c r="H34" s="1">
        <v>30.049999999999997</v>
      </c>
      <c r="I34" s="1">
        <v>23.42</v>
      </c>
      <c r="J34" s="1">
        <v>32.619999999999997</v>
      </c>
      <c r="K34" s="1">
        <v>46.679999999999986</v>
      </c>
      <c r="L34" s="1">
        <v>67.050000000000011</v>
      </c>
      <c r="M34" s="1">
        <v>175.53999999999994</v>
      </c>
      <c r="N34" s="1">
        <v>132.55000000000001</v>
      </c>
      <c r="O34" s="1">
        <v>88.110000000000014</v>
      </c>
      <c r="Q34">
        <f t="shared" si="0"/>
        <v>911.17</v>
      </c>
    </row>
    <row r="35" spans="3:17" x14ac:dyDescent="0.3">
      <c r="C35">
        <v>2019</v>
      </c>
      <c r="D35" s="1">
        <v>93.62</v>
      </c>
      <c r="E35" s="1">
        <v>201.73000000000002</v>
      </c>
      <c r="F35" s="1">
        <v>188.68</v>
      </c>
      <c r="G35" s="1">
        <v>117.36</v>
      </c>
      <c r="H35" s="1">
        <v>22.350000000000005</v>
      </c>
      <c r="I35" s="1">
        <v>20.43</v>
      </c>
      <c r="J35" s="1">
        <v>128.06</v>
      </c>
      <c r="K35" s="1">
        <v>71.330000000000013</v>
      </c>
      <c r="L35" s="1">
        <v>197.88</v>
      </c>
      <c r="M35" s="1">
        <v>140.46</v>
      </c>
      <c r="N35" s="1">
        <v>267.21999999999997</v>
      </c>
      <c r="O35" s="1">
        <v>206.04999999999998</v>
      </c>
      <c r="Q35">
        <f t="shared" si="0"/>
        <v>1655.17</v>
      </c>
    </row>
    <row r="36" spans="3:17" x14ac:dyDescent="0.3">
      <c r="C36">
        <v>2020</v>
      </c>
      <c r="D36" s="1">
        <v>181.82</v>
      </c>
      <c r="E36" s="1">
        <v>203.03</v>
      </c>
      <c r="F36" s="1">
        <v>105.64</v>
      </c>
      <c r="G36" s="1">
        <v>158.26</v>
      </c>
      <c r="H36" s="1">
        <v>9.5799999999999983</v>
      </c>
      <c r="I36" s="1">
        <v>0.26</v>
      </c>
      <c r="J36" s="1">
        <v>22.369999999999997</v>
      </c>
      <c r="K36" s="1">
        <v>197.23000000000002</v>
      </c>
      <c r="L36" s="1">
        <v>3.3400000000000003</v>
      </c>
      <c r="M36" s="1">
        <v>91.17</v>
      </c>
      <c r="N36" s="1">
        <v>243.6</v>
      </c>
      <c r="O36" s="1">
        <v>274.58</v>
      </c>
      <c r="Q36">
        <f t="shared" si="0"/>
        <v>1490.8799999999999</v>
      </c>
    </row>
    <row r="37" spans="3:17" x14ac:dyDescent="0.3">
      <c r="C37">
        <v>2021</v>
      </c>
      <c r="D37" s="1">
        <v>102.88</v>
      </c>
      <c r="E37" s="1">
        <v>51.8</v>
      </c>
      <c r="F37" s="1">
        <v>84.33</v>
      </c>
      <c r="G37" s="1">
        <v>2.79</v>
      </c>
      <c r="H37" s="1">
        <v>35.049999999999997</v>
      </c>
      <c r="I37" s="1">
        <v>6.35</v>
      </c>
      <c r="J37" s="1">
        <v>104.41</v>
      </c>
      <c r="K37" s="1">
        <v>12.95</v>
      </c>
      <c r="L37" s="1">
        <v>114.3</v>
      </c>
      <c r="M37" s="1">
        <v>369.05</v>
      </c>
      <c r="N37" s="1">
        <v>183.9</v>
      </c>
      <c r="O37" s="1">
        <v>60.95</v>
      </c>
      <c r="Q37">
        <f t="shared" si="0"/>
        <v>1128.7600000000002</v>
      </c>
    </row>
    <row r="38" spans="3:17" x14ac:dyDescent="0.3">
      <c r="C38">
        <v>2022</v>
      </c>
      <c r="D38" s="1">
        <v>138.68</v>
      </c>
      <c r="E38" s="1">
        <v>75.95</v>
      </c>
      <c r="F38" s="1">
        <v>172.46</v>
      </c>
      <c r="G38" s="1">
        <v>20.309999999999999</v>
      </c>
      <c r="H38" s="1">
        <v>60.98</v>
      </c>
      <c r="I38" s="1">
        <v>2.0299999999999998</v>
      </c>
      <c r="J38" s="1">
        <v>31.99</v>
      </c>
      <c r="K38" s="1">
        <v>13.21</v>
      </c>
      <c r="L38" s="1">
        <v>144.03</v>
      </c>
      <c r="M38" s="1">
        <v>120.9</v>
      </c>
      <c r="N38" s="1">
        <v>97.04</v>
      </c>
      <c r="O38" s="1">
        <v>160.29</v>
      </c>
      <c r="Q38">
        <f t="shared" si="0"/>
        <v>1037.8699999999999</v>
      </c>
    </row>
    <row r="39" spans="3:17" x14ac:dyDescent="0.3">
      <c r="C39">
        <v>2023</v>
      </c>
      <c r="D39" s="1">
        <v>117.34</v>
      </c>
      <c r="E39" s="1">
        <v>134.37</v>
      </c>
      <c r="F39" s="1">
        <v>77.459999999999994</v>
      </c>
      <c r="G39" s="1">
        <v>16</v>
      </c>
      <c r="H39" s="1">
        <v>124.72</v>
      </c>
      <c r="I39" s="1">
        <v>40.130000000000003</v>
      </c>
      <c r="J39" s="1">
        <v>111.23</v>
      </c>
      <c r="K39" s="1">
        <v>16.25</v>
      </c>
      <c r="L39" s="1">
        <v>214.12</v>
      </c>
      <c r="M39" s="1">
        <v>173.48</v>
      </c>
      <c r="N39" s="1">
        <v>96</v>
      </c>
      <c r="O39" s="1">
        <v>87.89</v>
      </c>
      <c r="Q39">
        <f t="shared" si="0"/>
        <v>1208.99</v>
      </c>
    </row>
    <row r="40" spans="3:17" x14ac:dyDescent="0.3">
      <c r="C40">
        <v>2024</v>
      </c>
      <c r="D40" s="1">
        <v>222.5</v>
      </c>
      <c r="E40" s="1">
        <v>186.19</v>
      </c>
      <c r="F40" s="1">
        <v>51.05</v>
      </c>
      <c r="G40" s="1">
        <v>34.799999999999997</v>
      </c>
      <c r="H40" s="1">
        <v>147.83000000000001</v>
      </c>
      <c r="I40" s="1">
        <v>60.71</v>
      </c>
      <c r="J40" s="1">
        <v>136.15</v>
      </c>
      <c r="K40" s="1">
        <v>15.75</v>
      </c>
      <c r="L40" s="1">
        <v>120.4</v>
      </c>
      <c r="M40" s="1">
        <v>230.39</v>
      </c>
      <c r="N40" s="1">
        <v>166.62</v>
      </c>
      <c r="O40" s="1">
        <v>71.38</v>
      </c>
      <c r="Q40">
        <f t="shared" si="0"/>
        <v>1443.77</v>
      </c>
    </row>
    <row r="41" spans="3:17" x14ac:dyDescent="0.3"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3:17" x14ac:dyDescent="0.3">
      <c r="D42" s="1">
        <v>125.9609</v>
      </c>
      <c r="E42" s="1">
        <v>137.83260000000018</v>
      </c>
      <c r="F42" s="1">
        <v>95.523300000000063</v>
      </c>
      <c r="G42" s="1">
        <v>75.050899999999956</v>
      </c>
      <c r="H42" s="1">
        <v>6.4384000000009109</v>
      </c>
      <c r="I42" s="1">
        <v>12.98969999999963</v>
      </c>
      <c r="J42" s="1">
        <v>51.533700000000039</v>
      </c>
      <c r="K42" s="1">
        <v>78.160400000000209</v>
      </c>
      <c r="L42" s="1">
        <v>116.65240000000085</v>
      </c>
      <c r="M42" s="1">
        <v>212.46569999999997</v>
      </c>
      <c r="N42" s="1">
        <v>184.14439999999991</v>
      </c>
      <c r="O42" s="1">
        <v>127.39159999999993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Tehran</vt:lpstr>
      <vt:lpstr>semnan</vt:lpstr>
      <vt:lpstr>Mashhad</vt:lpstr>
      <vt:lpstr>Arak</vt:lpstr>
      <vt:lpstr>Bandar Anzali</vt:lpstr>
      <vt:lpstr>Rasht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2025-04-15T14:21:17Z</dcterms:created>
  <dcterms:modified xsi:type="dcterms:W3CDTF">2025-11-18T07:20:00Z</dcterms:modified>
</cp:coreProperties>
</file>